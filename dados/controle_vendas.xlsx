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esktop\projeto_01_analise_vendas\dados\"/>
    </mc:Choice>
  </mc:AlternateContent>
  <xr:revisionPtr revIDLastSave="0" documentId="13_ncr:1_{FBD5D596-FC21-4A53-BC67-94CECEB6016B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istagem" sheetId="1" r:id="rId1"/>
    <sheet name="EXERCICIO - Controle  Vendas" sheetId="6" r:id="rId2"/>
    <sheet name="RESOLVIDO - Controle de Vendas" sheetId="3" r:id="rId3"/>
    <sheet name="Grafico Total de Vendas Semana" sheetId="4" r:id="rId4"/>
    <sheet name="Grafico por Vendedores" sheetId="5" r:id="rId5"/>
  </sheets>
  <definedNames>
    <definedName name="_xlnm._FilterDatabase" localSheetId="1" hidden="1">'EXERCICIO - Controle  Vendas'!$A$4:$F$71</definedName>
    <definedName name="_xlnm._FilterDatabase" localSheetId="0" hidden="1">Listagem!$A$4:$F$32</definedName>
    <definedName name="_xlnm._FilterDatabase" localSheetId="2" hidden="1">'RESOLVIDO - Controle de Vendas'!$A$4:$F$71</definedName>
    <definedName name="_xlnm.Print_Area" localSheetId="0">Listagem!$A$4:$F$71</definedName>
    <definedName name="_xlnm.Print_Titles" localSheetId="0">Listagem!$1:$4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6" l="1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K13" i="3"/>
  <c r="K14" i="3"/>
  <c r="K15" i="3"/>
  <c r="K16" i="3"/>
  <c r="K12" i="3"/>
  <c r="M45" i="3"/>
  <c r="M43" i="3"/>
  <c r="K43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J43" i="3" s="1"/>
  <c r="F20" i="3"/>
  <c r="F21" i="3"/>
  <c r="K46" i="3" s="1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K44" i="3" s="1"/>
  <c r="F36" i="3"/>
  <c r="F37" i="3"/>
  <c r="F38" i="3"/>
  <c r="F39" i="3"/>
  <c r="F40" i="3"/>
  <c r="F41" i="3"/>
  <c r="F42" i="3"/>
  <c r="F43" i="3"/>
  <c r="F44" i="3"/>
  <c r="F45" i="3"/>
  <c r="F46" i="3"/>
  <c r="F47" i="3"/>
  <c r="L44" i="3" s="1"/>
  <c r="F48" i="3"/>
  <c r="F49" i="3"/>
  <c r="F50" i="3"/>
  <c r="F51" i="3"/>
  <c r="F52" i="3"/>
  <c r="M46" i="3" s="1"/>
  <c r="F53" i="3"/>
  <c r="F54" i="3"/>
  <c r="F55" i="3"/>
  <c r="F56" i="3"/>
  <c r="F57" i="3"/>
  <c r="F58" i="3"/>
  <c r="F59" i="3"/>
  <c r="F60" i="3"/>
  <c r="M44" i="3" s="1"/>
  <c r="F61" i="3"/>
  <c r="F62" i="3"/>
  <c r="F63" i="3"/>
  <c r="F64" i="3"/>
  <c r="N45" i="3" s="1"/>
  <c r="F65" i="3"/>
  <c r="F66" i="3"/>
  <c r="F67" i="3"/>
  <c r="F68" i="3"/>
  <c r="N44" i="3" s="1"/>
  <c r="F69" i="3"/>
  <c r="F70" i="3"/>
  <c r="N43" i="3" s="1"/>
  <c r="F71" i="3"/>
  <c r="F5" i="3"/>
  <c r="J45" i="3" l="1"/>
  <c r="J23" i="3"/>
  <c r="J14" i="3"/>
  <c r="N46" i="3"/>
  <c r="N47" i="3" s="1"/>
  <c r="K45" i="3"/>
  <c r="K47" i="3" s="1"/>
  <c r="L45" i="3"/>
  <c r="L43" i="3"/>
  <c r="O43" i="3" s="1"/>
  <c r="K18" i="3"/>
  <c r="M47" i="3"/>
  <c r="J22" i="3"/>
  <c r="J27" i="3"/>
  <c r="J33" i="3"/>
  <c r="J24" i="3"/>
  <c r="J46" i="3"/>
  <c r="J25" i="3"/>
  <c r="J26" i="3"/>
  <c r="J44" i="3"/>
  <c r="O44" i="3" s="1"/>
  <c r="L46" i="3"/>
  <c r="J16" i="3"/>
  <c r="J18" i="3" s="1"/>
  <c r="J32" i="3"/>
  <c r="J13" i="3"/>
  <c r="J31" i="3"/>
  <c r="J12" i="3"/>
  <c r="J15" i="3"/>
  <c r="J34" i="3"/>
  <c r="F76" i="3"/>
  <c r="F75" i="3"/>
  <c r="F77" i="3"/>
  <c r="F73" i="3"/>
  <c r="L47" i="3" l="1"/>
  <c r="O45" i="3"/>
  <c r="O47" i="3" s="1"/>
  <c r="O46" i="3"/>
  <c r="J28" i="3"/>
  <c r="J47" i="3"/>
  <c r="J35" i="3"/>
</calcChain>
</file>

<file path=xl/sharedStrings.xml><?xml version="1.0" encoding="utf-8"?>
<sst xmlns="http://schemas.openxmlformats.org/spreadsheetml/2006/main" count="671" uniqueCount="39">
  <si>
    <t>Vendedores</t>
  </si>
  <si>
    <t>Luminária</t>
  </si>
  <si>
    <t>Quadro</t>
  </si>
  <si>
    <t>Carlos Eduardo</t>
  </si>
  <si>
    <t>Lourdes Maria</t>
  </si>
  <si>
    <t>Maria Eduarda</t>
  </si>
  <si>
    <t>Produto</t>
  </si>
  <si>
    <t>Valor Unitário</t>
  </si>
  <si>
    <t>Qtde</t>
  </si>
  <si>
    <t>Valor Total</t>
  </si>
  <si>
    <t>Pedestal</t>
  </si>
  <si>
    <t>Tapete Irã</t>
  </si>
  <si>
    <t>Mesa Carrara</t>
  </si>
  <si>
    <t>Período</t>
  </si>
  <si>
    <t>Semana 1</t>
  </si>
  <si>
    <t>Semana 2</t>
  </si>
  <si>
    <t>Semana 3</t>
  </si>
  <si>
    <t>Semana 4</t>
  </si>
  <si>
    <t>Audácia &amp; Requinte Imports Ltda.</t>
  </si>
  <si>
    <t>Vendedor</t>
  </si>
  <si>
    <t>Pedro Rangel</t>
  </si>
  <si>
    <t>Abajur</t>
  </si>
  <si>
    <t>Anna Baptista</t>
  </si>
  <si>
    <t>Listagem de Vendas - Junho/2017</t>
  </si>
  <si>
    <t xml:space="preserve">Total </t>
  </si>
  <si>
    <t>Média de vendas</t>
  </si>
  <si>
    <t>Menor venda</t>
  </si>
  <si>
    <t>Maior venda</t>
  </si>
  <si>
    <t>Total de Vendas</t>
  </si>
  <si>
    <t>Total geral</t>
  </si>
  <si>
    <t>FUNCAO SOMASE</t>
  </si>
  <si>
    <t>Total de vendas</t>
  </si>
  <si>
    <t>Periodo</t>
  </si>
  <si>
    <t>Total dos produtos</t>
  </si>
  <si>
    <t>Total do periodo</t>
  </si>
  <si>
    <t>Total de vendas (quantidade)</t>
  </si>
  <si>
    <t>FUNCAO SOMASES</t>
  </si>
  <si>
    <t>Total</t>
  </si>
  <si>
    <t>CONT.SES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</si>
</sst>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5"/>
      <color theme="1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b/>
      <sz val="15"/>
      <color theme="0"/>
      <name val="Arial"/>
      <family val="2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Continuous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1" applyFont="1"/>
    <xf numFmtId="0" fontId="4" fillId="0" borderId="0" xfId="0" applyFont="1" applyAlignment="1">
      <alignment horizontal="center"/>
    </xf>
    <xf numFmtId="164" fontId="0" fillId="0" borderId="0" xfId="0" applyNumberFormat="1"/>
    <xf numFmtId="4" fontId="1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164" fontId="0" fillId="0" borderId="0" xfId="1" applyFont="1" applyBorder="1"/>
    <xf numFmtId="0" fontId="1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1" applyFont="1"/>
    <xf numFmtId="164" fontId="6" fillId="0" borderId="0" xfId="1" applyFont="1" applyBorder="1"/>
    <xf numFmtId="0" fontId="2" fillId="0" borderId="0" xfId="0" applyFont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1" applyFont="1"/>
    <xf numFmtId="164" fontId="11" fillId="0" borderId="0" xfId="0" applyNumberFormat="1" applyFont="1"/>
    <xf numFmtId="0" fontId="2" fillId="2" borderId="0" xfId="0" applyFont="1" applyFill="1"/>
    <xf numFmtId="0" fontId="7" fillId="2" borderId="0" xfId="0" applyFont="1" applyFill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Vendas'!$J$21</c:f>
              <c:strCache>
                <c:ptCount val="1"/>
                <c:pt idx="0">
                  <c:v>Total de 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'RESOLVIDO - Controle de Vendas'!$I$22:$I$27</c15:sqref>
                  </c15:fullRef>
                </c:ext>
              </c:extLst>
              <c:f>('RESOLVIDO - Controle de Vendas'!$I$22,'RESOLVIDO - Controle de Vendas'!$I$26)</c:f>
              <c:strCache>
                <c:ptCount val="2"/>
                <c:pt idx="0">
                  <c:v>Abajur</c:v>
                </c:pt>
                <c:pt idx="1">
                  <c:v>Quadro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'RESOLVIDO - Controle de Vendas'!$J$22:$J$27</c15:sqref>
                  </c15:fullRef>
                </c:ext>
              </c:extLst>
              <c:f>('RESOLVIDO - Controle de Vendas'!$J$22,'RESOLVIDO - Controle de Vendas'!$J$26)</c:f>
              <c:numCache>
                <c:formatCode>_(* #,##0.00_);_(* \(#,##0.00\);_(* "-"??_);_(@_)</c:formatCode>
                <c:ptCount val="2"/>
                <c:pt idx="0">
                  <c:v>117450</c:v>
                </c:pt>
                <c:pt idx="1">
                  <c:v>837000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2-4BAD-8115-4F6D5ED4F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044496"/>
        <c:axId val="1692041776"/>
      </c:barChart>
      <c:catAx>
        <c:axId val="16920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1776"/>
        <c:crosses val="autoZero"/>
        <c:auto val="1"/>
        <c:lblAlgn val="ctr"/>
        <c:lblOffset val="100"/>
        <c:noMultiLvlLbl val="0"/>
      </c:catAx>
      <c:valAx>
        <c:axId val="16920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Vendas'!$J$30</c:f>
              <c:strCache>
                <c:ptCount val="1"/>
                <c:pt idx="0">
                  <c:v>Total de vendas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'RESOLVIDO - Controle de Vendas'!$I$31:$I$34</c:f>
              <c:strCache>
                <c:ptCount val="4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</c:strCache>
            </c:strRef>
          </c:cat>
          <c:val>
            <c:numRef>
              <c:f>'RESOLVIDO - Controle de Vendas'!$J$31:$J$34</c:f>
              <c:numCache>
                <c:formatCode>_(* #,##0.00_);_(* \(#,##0.00\);_(* "-"??_);_(@_)</c:formatCode>
                <c:ptCount val="4"/>
                <c:pt idx="0">
                  <c:v>186850</c:v>
                </c:pt>
                <c:pt idx="1">
                  <c:v>357700</c:v>
                </c:pt>
                <c:pt idx="2">
                  <c:v>571920</c:v>
                </c:pt>
                <c:pt idx="3">
                  <c:v>903410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61-4071-A185-4E1D8B8CD2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692051024"/>
        <c:axId val="1692043952"/>
      </c:barChart>
      <c:catAx>
        <c:axId val="169205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3952"/>
        <c:crosses val="autoZero"/>
        <c:auto val="1"/>
        <c:lblAlgn val="ctr"/>
        <c:lblOffset val="100"/>
        <c:noMultiLvlLbl val="0"/>
      </c:catAx>
      <c:valAx>
        <c:axId val="16920439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5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Vendas por Vendedores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'RESOLVIDO - Controle de Vendas'!$J$11</c:f>
              <c:strCache>
                <c:ptCount val="1"/>
                <c:pt idx="0">
                  <c:v>Total de Vendas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286-47A0-843A-DB2149AF82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percentage"/>
            <c:noEndCap val="0"/>
            <c:val val="1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Ref>
              <c:f>'RESOLVIDO - Controle de Vendas'!$I$12:$I$16</c:f>
              <c:strCache>
                <c:ptCount val="5"/>
                <c:pt idx="0">
                  <c:v>Anna Baptista</c:v>
                </c:pt>
                <c:pt idx="1">
                  <c:v>Carlos Eduardo</c:v>
                </c:pt>
                <c:pt idx="2">
                  <c:v>Lourdes Maria</c:v>
                </c:pt>
                <c:pt idx="3">
                  <c:v>Maria Eduarda</c:v>
                </c:pt>
                <c:pt idx="4">
                  <c:v>Pedro Rangel</c:v>
                </c:pt>
              </c:strCache>
            </c:strRef>
          </c:cat>
          <c:val>
            <c:numRef>
              <c:f>'RESOLVIDO - Controle de Vendas'!$J$12:$J$16</c:f>
              <c:numCache>
                <c:formatCode>_(* #,##0.00_);_(* \(#,##0.00\);_(* "-"??_);_(@_)</c:formatCode>
                <c:ptCount val="5"/>
                <c:pt idx="0">
                  <c:v>339420</c:v>
                </c:pt>
                <c:pt idx="1">
                  <c:v>908950</c:v>
                </c:pt>
                <c:pt idx="2">
                  <c:v>363250</c:v>
                </c:pt>
                <c:pt idx="3">
                  <c:v>196200</c:v>
                </c:pt>
                <c:pt idx="4">
                  <c:v>212060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86-47A0-843A-DB2149AF82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2045040"/>
        <c:axId val="1692043408"/>
      </c:barChart>
      <c:catAx>
        <c:axId val="169204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3408"/>
        <c:crosses val="autoZero"/>
        <c:auto val="1"/>
        <c:lblAlgn val="ctr"/>
        <c:lblOffset val="100"/>
        <c:noMultiLvlLbl val="0"/>
      </c:catAx>
      <c:valAx>
        <c:axId val="16920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vendas por vendedores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204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104776</xdr:colOff>
      <xdr:row>19</xdr:row>
      <xdr:rowOff>114299</xdr:rowOff>
    </xdr:from>
    <xdr:to>
      <xdr:col>21</xdr:col>
      <xdr:colOff>409576</xdr:colOff>
      <xdr:row>30</xdr:row>
      <xdr:rowOff>85725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0957" cy="60131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40957" cy="601317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K71"/>
  <sheetViews>
    <sheetView zoomScaleNormal="100" workbookViewId="0"/>
  </sheetViews>
  <sheetFormatPr defaultRowHeight="12.75" x14ac:dyDescent="0.2"/>
  <cols>
    <col min="1" max="1" width="12" customWidth="1"/>
    <col min="2" max="2" width="28.5703125" customWidth="1"/>
    <col min="3" max="3" width="19.5703125" customWidth="1"/>
    <col min="4" max="4" width="30.7109375" customWidth="1"/>
    <col min="5" max="5" width="12.85546875" customWidth="1"/>
    <col min="6" max="6" width="28.140625" customWidth="1"/>
    <col min="8" max="8" width="14.140625" bestFit="1" customWidth="1"/>
    <col min="9" max="11" width="10.28515625" customWidth="1"/>
  </cols>
  <sheetData>
    <row r="1" spans="1:11" ht="19.5" x14ac:dyDescent="0.3">
      <c r="A1" s="12" t="s">
        <v>18</v>
      </c>
      <c r="B1" s="12"/>
      <c r="C1" s="12"/>
      <c r="D1" s="12"/>
      <c r="E1" s="11"/>
      <c r="F1" s="11"/>
    </row>
    <row r="2" spans="1:11" x14ac:dyDescent="0.2">
      <c r="A2" s="12" t="s">
        <v>23</v>
      </c>
      <c r="B2" s="12"/>
      <c r="C2" s="12"/>
      <c r="D2" s="12"/>
      <c r="E2" s="2"/>
      <c r="F2" s="2"/>
    </row>
    <row r="3" spans="1:11" x14ac:dyDescent="0.2">
      <c r="H3" s="2"/>
      <c r="I3" s="2"/>
    </row>
    <row r="4" spans="1:11" s="1" customFormat="1" x14ac:dyDescent="0.2">
      <c r="A4" s="10" t="s">
        <v>0</v>
      </c>
      <c r="B4" s="10" t="s">
        <v>13</v>
      </c>
      <c r="C4" s="10" t="s">
        <v>6</v>
      </c>
      <c r="D4" s="10" t="s">
        <v>7</v>
      </c>
      <c r="E4" s="10" t="s">
        <v>8</v>
      </c>
      <c r="F4" s="10" t="s">
        <v>9</v>
      </c>
    </row>
    <row r="5" spans="1:11" x14ac:dyDescent="0.2">
      <c r="A5" s="4" t="s">
        <v>22</v>
      </c>
      <c r="B5" s="13" t="s">
        <v>17</v>
      </c>
      <c r="C5" s="13" t="s">
        <v>1</v>
      </c>
      <c r="D5" s="6">
        <v>3475</v>
      </c>
      <c r="E5">
        <v>8</v>
      </c>
      <c r="F5" s="3"/>
      <c r="I5" s="3"/>
      <c r="K5" s="8"/>
    </row>
    <row r="6" spans="1:11" x14ac:dyDescent="0.2">
      <c r="A6" s="4" t="s">
        <v>22</v>
      </c>
      <c r="B6" s="13" t="s">
        <v>17</v>
      </c>
      <c r="C6" s="13" t="s">
        <v>1</v>
      </c>
      <c r="D6" s="6">
        <v>3475</v>
      </c>
      <c r="E6">
        <v>8</v>
      </c>
      <c r="F6" s="3"/>
      <c r="I6" s="3"/>
      <c r="K6" s="8"/>
    </row>
    <row r="7" spans="1:11" x14ac:dyDescent="0.2">
      <c r="A7" s="4" t="s">
        <v>22</v>
      </c>
      <c r="B7" s="13" t="s">
        <v>17</v>
      </c>
      <c r="C7" s="13" t="s">
        <v>12</v>
      </c>
      <c r="D7" s="6">
        <v>12300</v>
      </c>
      <c r="E7">
        <v>2</v>
      </c>
      <c r="F7" s="3"/>
      <c r="I7" s="5"/>
      <c r="K7" s="8"/>
    </row>
    <row r="8" spans="1:11" x14ac:dyDescent="0.2">
      <c r="A8" s="4" t="s">
        <v>22</v>
      </c>
      <c r="B8" s="13" t="s">
        <v>17</v>
      </c>
      <c r="C8" s="13" t="s">
        <v>12</v>
      </c>
      <c r="D8" s="6">
        <v>12300</v>
      </c>
      <c r="E8">
        <v>2</v>
      </c>
      <c r="F8" s="3"/>
      <c r="I8" s="9"/>
      <c r="K8" s="8"/>
    </row>
    <row r="9" spans="1:11" x14ac:dyDescent="0.2">
      <c r="A9" s="4" t="s">
        <v>22</v>
      </c>
      <c r="B9" s="13" t="s">
        <v>17</v>
      </c>
      <c r="C9" s="13" t="s">
        <v>2</v>
      </c>
      <c r="D9" s="6">
        <v>4500</v>
      </c>
      <c r="E9">
        <v>6</v>
      </c>
      <c r="F9" s="3"/>
      <c r="I9" s="9"/>
      <c r="K9" s="8"/>
    </row>
    <row r="10" spans="1:11" x14ac:dyDescent="0.2">
      <c r="A10" s="4" t="s">
        <v>22</v>
      </c>
      <c r="B10" s="13" t="s">
        <v>17</v>
      </c>
      <c r="C10" s="13" t="s">
        <v>2</v>
      </c>
      <c r="D10" s="6">
        <v>4500</v>
      </c>
      <c r="E10">
        <v>6</v>
      </c>
      <c r="F10" s="3"/>
      <c r="I10" s="9"/>
      <c r="K10" s="8"/>
    </row>
    <row r="11" spans="1:11" x14ac:dyDescent="0.2">
      <c r="A11" s="4" t="s">
        <v>22</v>
      </c>
      <c r="B11" s="13" t="s">
        <v>16</v>
      </c>
      <c r="C11" s="13" t="s">
        <v>1</v>
      </c>
      <c r="D11" s="6">
        <v>3475</v>
      </c>
      <c r="E11">
        <v>4</v>
      </c>
      <c r="F11" s="3"/>
      <c r="I11" s="9"/>
      <c r="K11" s="8"/>
    </row>
    <row r="12" spans="1:11" x14ac:dyDescent="0.2">
      <c r="A12" s="4" t="s">
        <v>22</v>
      </c>
      <c r="B12" s="13" t="s">
        <v>16</v>
      </c>
      <c r="C12" s="13" t="s">
        <v>1</v>
      </c>
      <c r="D12" s="6">
        <v>3475</v>
      </c>
      <c r="E12">
        <v>4</v>
      </c>
      <c r="F12" s="3"/>
      <c r="I12" s="3"/>
      <c r="K12" s="8"/>
    </row>
    <row r="13" spans="1:11" x14ac:dyDescent="0.2">
      <c r="A13" s="4" t="s">
        <v>22</v>
      </c>
      <c r="B13" s="13" t="s">
        <v>16</v>
      </c>
      <c r="C13" s="13" t="s">
        <v>10</v>
      </c>
      <c r="D13" s="6">
        <v>890</v>
      </c>
      <c r="E13">
        <v>9</v>
      </c>
      <c r="F13" s="3"/>
      <c r="I13" s="3"/>
      <c r="K13" s="8"/>
    </row>
    <row r="14" spans="1:11" x14ac:dyDescent="0.2">
      <c r="A14" s="4" t="s">
        <v>22</v>
      </c>
      <c r="B14" s="13" t="s">
        <v>16</v>
      </c>
      <c r="C14" s="13" t="s">
        <v>10</v>
      </c>
      <c r="D14" s="6">
        <v>890</v>
      </c>
      <c r="E14">
        <v>9</v>
      </c>
      <c r="F14" s="3"/>
      <c r="K14" s="8"/>
    </row>
    <row r="15" spans="1:11" x14ac:dyDescent="0.2">
      <c r="A15" s="4" t="s">
        <v>22</v>
      </c>
      <c r="B15" s="13" t="s">
        <v>15</v>
      </c>
      <c r="C15" s="13" t="s">
        <v>21</v>
      </c>
      <c r="D15" s="6">
        <v>1350</v>
      </c>
      <c r="E15">
        <v>4</v>
      </c>
      <c r="F15" s="3"/>
      <c r="K15" s="8"/>
    </row>
    <row r="16" spans="1:11" x14ac:dyDescent="0.2">
      <c r="A16" s="4" t="s">
        <v>22</v>
      </c>
      <c r="B16" s="13" t="s">
        <v>15</v>
      </c>
      <c r="C16" s="13" t="s">
        <v>21</v>
      </c>
      <c r="D16" s="6">
        <v>1350</v>
      </c>
      <c r="E16">
        <v>4</v>
      </c>
      <c r="F16" s="3"/>
      <c r="K16" s="8"/>
    </row>
    <row r="17" spans="1:11" x14ac:dyDescent="0.2">
      <c r="A17" s="4" t="s">
        <v>22</v>
      </c>
      <c r="B17" s="13" t="s">
        <v>15</v>
      </c>
      <c r="C17" s="13" t="s">
        <v>2</v>
      </c>
      <c r="D17" s="6">
        <v>4500</v>
      </c>
      <c r="E17">
        <v>2</v>
      </c>
      <c r="F17" s="3"/>
      <c r="K17" s="8"/>
    </row>
    <row r="18" spans="1:11" x14ac:dyDescent="0.2">
      <c r="A18" s="4" t="s">
        <v>22</v>
      </c>
      <c r="B18" s="13" t="s">
        <v>15</v>
      </c>
      <c r="C18" s="13" t="s">
        <v>2</v>
      </c>
      <c r="D18" s="6">
        <v>4500</v>
      </c>
      <c r="E18">
        <v>2</v>
      </c>
      <c r="F18" s="3"/>
      <c r="K18" s="8"/>
    </row>
    <row r="19" spans="1:11" x14ac:dyDescent="0.2">
      <c r="A19" s="4" t="s">
        <v>22</v>
      </c>
      <c r="B19" s="13" t="s">
        <v>14</v>
      </c>
      <c r="C19" s="13" t="s">
        <v>2</v>
      </c>
      <c r="D19" s="6">
        <v>4500</v>
      </c>
      <c r="E19">
        <v>12</v>
      </c>
      <c r="F19" s="3"/>
      <c r="K19" s="8"/>
    </row>
    <row r="20" spans="1:11" x14ac:dyDescent="0.2">
      <c r="A20" s="4" t="s">
        <v>22</v>
      </c>
      <c r="B20" s="13" t="s">
        <v>14</v>
      </c>
      <c r="C20" s="13" t="s">
        <v>2</v>
      </c>
      <c r="D20" s="6">
        <v>4500</v>
      </c>
      <c r="E20">
        <v>12</v>
      </c>
      <c r="F20" s="3"/>
      <c r="H20" s="5"/>
      <c r="K20" s="8"/>
    </row>
    <row r="21" spans="1:11" x14ac:dyDescent="0.2">
      <c r="A21" s="4" t="s">
        <v>3</v>
      </c>
      <c r="B21" s="13" t="s">
        <v>17</v>
      </c>
      <c r="C21" s="13" t="s">
        <v>21</v>
      </c>
      <c r="D21" s="6">
        <v>1350</v>
      </c>
      <c r="E21">
        <v>7</v>
      </c>
      <c r="F21" s="3"/>
      <c r="K21" s="8"/>
    </row>
    <row r="22" spans="1:11" x14ac:dyDescent="0.2">
      <c r="A22" s="4" t="s">
        <v>3</v>
      </c>
      <c r="B22" s="13" t="s">
        <v>17</v>
      </c>
      <c r="C22" s="13" t="s">
        <v>21</v>
      </c>
      <c r="D22" s="6">
        <v>1350</v>
      </c>
      <c r="E22">
        <v>7</v>
      </c>
      <c r="F22" s="3"/>
      <c r="K22" s="8"/>
    </row>
    <row r="23" spans="1:11" x14ac:dyDescent="0.2">
      <c r="A23" s="7" t="s">
        <v>3</v>
      </c>
      <c r="B23" s="13" t="s">
        <v>17</v>
      </c>
      <c r="C23" s="14" t="s">
        <v>21</v>
      </c>
      <c r="D23" s="6">
        <v>1350</v>
      </c>
      <c r="E23">
        <v>7</v>
      </c>
      <c r="F23" s="3"/>
      <c r="K23" s="8"/>
    </row>
    <row r="24" spans="1:11" x14ac:dyDescent="0.2">
      <c r="A24" s="4" t="s">
        <v>3</v>
      </c>
      <c r="B24" s="13" t="s">
        <v>17</v>
      </c>
      <c r="C24" s="13" t="s">
        <v>21</v>
      </c>
      <c r="D24" s="6">
        <v>1350</v>
      </c>
      <c r="E24">
        <v>10</v>
      </c>
      <c r="F24" s="3"/>
      <c r="K24" s="8"/>
    </row>
    <row r="25" spans="1:11" x14ac:dyDescent="0.2">
      <c r="A25" s="4" t="s">
        <v>3</v>
      </c>
      <c r="B25" s="13" t="s">
        <v>17</v>
      </c>
      <c r="C25" s="13" t="s">
        <v>21</v>
      </c>
      <c r="D25" s="6">
        <v>1350</v>
      </c>
      <c r="E25">
        <v>10</v>
      </c>
      <c r="F25" s="3"/>
      <c r="K25" s="8"/>
    </row>
    <row r="26" spans="1:11" x14ac:dyDescent="0.2">
      <c r="A26" s="4" t="s">
        <v>3</v>
      </c>
      <c r="B26" s="13" t="s">
        <v>17</v>
      </c>
      <c r="C26" s="13" t="s">
        <v>11</v>
      </c>
      <c r="D26" s="6">
        <v>23000</v>
      </c>
      <c r="E26">
        <v>9</v>
      </c>
      <c r="F26" s="3"/>
      <c r="K26" s="8"/>
    </row>
    <row r="27" spans="1:11" x14ac:dyDescent="0.2">
      <c r="A27" s="4" t="s">
        <v>3</v>
      </c>
      <c r="B27" s="13" t="s">
        <v>17</v>
      </c>
      <c r="C27" s="13" t="s">
        <v>11</v>
      </c>
      <c r="D27" s="6">
        <v>23000</v>
      </c>
      <c r="E27">
        <v>9</v>
      </c>
      <c r="F27" s="3"/>
      <c r="K27" s="8"/>
    </row>
    <row r="28" spans="1:11" x14ac:dyDescent="0.2">
      <c r="A28" s="4" t="s">
        <v>3</v>
      </c>
      <c r="B28" s="13" t="s">
        <v>16</v>
      </c>
      <c r="C28" s="13" t="s">
        <v>1</v>
      </c>
      <c r="D28" s="6">
        <v>3475</v>
      </c>
      <c r="E28">
        <v>8</v>
      </c>
      <c r="F28" s="3"/>
      <c r="K28" s="8"/>
    </row>
    <row r="29" spans="1:11" x14ac:dyDescent="0.2">
      <c r="A29" s="4" t="s">
        <v>3</v>
      </c>
      <c r="B29" s="13" t="s">
        <v>16</v>
      </c>
      <c r="C29" s="13" t="s">
        <v>1</v>
      </c>
      <c r="D29" s="6">
        <v>3475</v>
      </c>
      <c r="E29">
        <v>8</v>
      </c>
      <c r="F29" s="3"/>
      <c r="K29" s="8"/>
    </row>
    <row r="30" spans="1:11" x14ac:dyDescent="0.2">
      <c r="A30" s="4" t="s">
        <v>3</v>
      </c>
      <c r="B30" s="13" t="s">
        <v>16</v>
      </c>
      <c r="C30" s="13" t="s">
        <v>12</v>
      </c>
      <c r="D30" s="6">
        <v>12300</v>
      </c>
      <c r="E30">
        <v>5</v>
      </c>
      <c r="F30" s="3"/>
      <c r="K30" s="8"/>
    </row>
    <row r="31" spans="1:11" x14ac:dyDescent="0.2">
      <c r="A31" s="4" t="s">
        <v>3</v>
      </c>
      <c r="B31" s="13" t="s">
        <v>16</v>
      </c>
      <c r="C31" s="13" t="s">
        <v>12</v>
      </c>
      <c r="D31" s="6">
        <v>12300</v>
      </c>
      <c r="E31">
        <v>5</v>
      </c>
      <c r="F31" s="3"/>
      <c r="K31" s="8"/>
    </row>
    <row r="32" spans="1:11" x14ac:dyDescent="0.2">
      <c r="A32" s="4" t="s">
        <v>3</v>
      </c>
      <c r="B32" s="13" t="s">
        <v>16</v>
      </c>
      <c r="C32" s="13" t="s">
        <v>2</v>
      </c>
      <c r="D32" s="6">
        <v>4500</v>
      </c>
      <c r="E32">
        <v>7</v>
      </c>
      <c r="F32" s="3"/>
      <c r="K32" s="8"/>
    </row>
    <row r="33" spans="1:11" x14ac:dyDescent="0.2">
      <c r="A33" s="4" t="s">
        <v>3</v>
      </c>
      <c r="B33" s="13" t="s">
        <v>16</v>
      </c>
      <c r="C33" s="13" t="s">
        <v>11</v>
      </c>
      <c r="D33" s="6">
        <v>23000</v>
      </c>
      <c r="E33">
        <v>3</v>
      </c>
      <c r="F33" s="3"/>
      <c r="K33" s="8"/>
    </row>
    <row r="34" spans="1:11" x14ac:dyDescent="0.2">
      <c r="A34" s="4" t="s">
        <v>3</v>
      </c>
      <c r="B34" s="13" t="s">
        <v>16</v>
      </c>
      <c r="C34" s="13" t="s">
        <v>11</v>
      </c>
      <c r="D34" s="6">
        <v>23000</v>
      </c>
      <c r="E34">
        <v>3</v>
      </c>
      <c r="F34" s="3"/>
      <c r="K34" s="8"/>
    </row>
    <row r="35" spans="1:11" x14ac:dyDescent="0.2">
      <c r="A35" s="4" t="s">
        <v>3</v>
      </c>
      <c r="B35" s="13" t="s">
        <v>15</v>
      </c>
      <c r="C35" s="13" t="s">
        <v>1</v>
      </c>
      <c r="D35" s="6">
        <v>3475</v>
      </c>
      <c r="E35">
        <v>12</v>
      </c>
      <c r="F35" s="3"/>
      <c r="K35" s="8"/>
    </row>
    <row r="36" spans="1:11" x14ac:dyDescent="0.2">
      <c r="A36" s="4" t="s">
        <v>3</v>
      </c>
      <c r="B36" s="13" t="s">
        <v>15</v>
      </c>
      <c r="C36" s="13" t="s">
        <v>1</v>
      </c>
      <c r="D36" s="15">
        <v>3475</v>
      </c>
      <c r="E36">
        <v>12</v>
      </c>
      <c r="F36" s="3"/>
      <c r="K36" s="8"/>
    </row>
    <row r="37" spans="1:11" x14ac:dyDescent="0.2">
      <c r="A37" s="4" t="s">
        <v>3</v>
      </c>
      <c r="B37" s="13" t="s">
        <v>14</v>
      </c>
      <c r="C37" s="13" t="s">
        <v>21</v>
      </c>
      <c r="D37" s="15">
        <v>1350</v>
      </c>
      <c r="E37">
        <v>3</v>
      </c>
      <c r="F37" s="3"/>
      <c r="K37" s="8"/>
    </row>
    <row r="38" spans="1:11" x14ac:dyDescent="0.2">
      <c r="A38" s="4" t="s">
        <v>3</v>
      </c>
      <c r="B38" s="13" t="s">
        <v>14</v>
      </c>
      <c r="C38" s="13" t="s">
        <v>21</v>
      </c>
      <c r="D38" s="15">
        <v>1350</v>
      </c>
      <c r="E38">
        <v>3</v>
      </c>
      <c r="F38" s="3"/>
      <c r="K38" s="8"/>
    </row>
    <row r="39" spans="1:11" x14ac:dyDescent="0.2">
      <c r="A39" s="7" t="s">
        <v>4</v>
      </c>
      <c r="B39" s="13" t="s">
        <v>17</v>
      </c>
      <c r="C39" s="14" t="s">
        <v>2</v>
      </c>
      <c r="D39" s="15">
        <v>4500</v>
      </c>
      <c r="E39">
        <v>3</v>
      </c>
      <c r="F39" s="3"/>
      <c r="K39" s="8"/>
    </row>
    <row r="40" spans="1:11" x14ac:dyDescent="0.2">
      <c r="A40" s="4" t="s">
        <v>4</v>
      </c>
      <c r="B40" s="13" t="s">
        <v>17</v>
      </c>
      <c r="C40" s="13" t="s">
        <v>2</v>
      </c>
      <c r="D40" s="15">
        <v>4500</v>
      </c>
      <c r="E40">
        <v>4</v>
      </c>
      <c r="F40" s="3"/>
      <c r="K40" s="8"/>
    </row>
    <row r="41" spans="1:11" x14ac:dyDescent="0.2">
      <c r="A41" s="4" t="s">
        <v>4</v>
      </c>
      <c r="B41" s="13" t="s">
        <v>17</v>
      </c>
      <c r="C41" s="13" t="s">
        <v>2</v>
      </c>
      <c r="D41" s="15">
        <v>4500</v>
      </c>
      <c r="E41">
        <v>4</v>
      </c>
      <c r="F41" s="3"/>
      <c r="K41" s="8"/>
    </row>
    <row r="42" spans="1:11" x14ac:dyDescent="0.2">
      <c r="A42" s="4" t="s">
        <v>4</v>
      </c>
      <c r="B42" s="13" t="s">
        <v>17</v>
      </c>
      <c r="C42" s="13" t="s">
        <v>2</v>
      </c>
      <c r="D42" s="6">
        <v>4500</v>
      </c>
      <c r="E42">
        <v>4</v>
      </c>
      <c r="F42" s="3"/>
      <c r="K42" s="8"/>
    </row>
    <row r="43" spans="1:11" x14ac:dyDescent="0.2">
      <c r="A43" s="4" t="s">
        <v>4</v>
      </c>
      <c r="B43" s="13" t="s">
        <v>17</v>
      </c>
      <c r="C43" s="13" t="s">
        <v>2</v>
      </c>
      <c r="D43" s="6">
        <v>4500</v>
      </c>
      <c r="E43">
        <v>4</v>
      </c>
      <c r="F43" s="3"/>
      <c r="K43" s="8"/>
    </row>
    <row r="44" spans="1:11" x14ac:dyDescent="0.2">
      <c r="A44" s="4" t="s">
        <v>4</v>
      </c>
      <c r="B44" s="13" t="s">
        <v>16</v>
      </c>
      <c r="C44" s="13" t="s">
        <v>2</v>
      </c>
      <c r="D44" s="6">
        <v>4500</v>
      </c>
      <c r="E44">
        <v>8</v>
      </c>
      <c r="F44" s="3"/>
      <c r="K44" s="8"/>
    </row>
    <row r="45" spans="1:11" x14ac:dyDescent="0.2">
      <c r="A45" s="4" t="s">
        <v>4</v>
      </c>
      <c r="B45" s="13" t="s">
        <v>16</v>
      </c>
      <c r="C45" s="13" t="s">
        <v>2</v>
      </c>
      <c r="D45" s="6">
        <v>4500</v>
      </c>
      <c r="E45">
        <v>8</v>
      </c>
      <c r="F45" s="3"/>
      <c r="K45" s="8"/>
    </row>
    <row r="46" spans="1:11" x14ac:dyDescent="0.2">
      <c r="A46" s="4" t="s">
        <v>4</v>
      </c>
      <c r="B46" s="13" t="s">
        <v>15</v>
      </c>
      <c r="C46" s="13" t="s">
        <v>2</v>
      </c>
      <c r="D46" s="6">
        <v>4500</v>
      </c>
      <c r="E46">
        <v>4</v>
      </c>
      <c r="F46" s="3"/>
      <c r="K46" s="8"/>
    </row>
    <row r="47" spans="1:11" x14ac:dyDescent="0.2">
      <c r="A47" s="4" t="s">
        <v>4</v>
      </c>
      <c r="B47" s="13" t="s">
        <v>15</v>
      </c>
      <c r="C47" s="13" t="s">
        <v>2</v>
      </c>
      <c r="D47" s="6">
        <v>4500</v>
      </c>
      <c r="E47">
        <v>4</v>
      </c>
      <c r="F47" s="3"/>
      <c r="K47" s="8"/>
    </row>
    <row r="48" spans="1:11" x14ac:dyDescent="0.2">
      <c r="A48" s="4" t="s">
        <v>4</v>
      </c>
      <c r="B48" s="13" t="s">
        <v>15</v>
      </c>
      <c r="C48" s="13" t="s">
        <v>2</v>
      </c>
      <c r="D48" s="6">
        <v>4500</v>
      </c>
      <c r="E48">
        <v>15</v>
      </c>
      <c r="F48" s="3"/>
      <c r="K48" s="8"/>
    </row>
    <row r="49" spans="1:11" x14ac:dyDescent="0.2">
      <c r="A49" s="4" t="s">
        <v>4</v>
      </c>
      <c r="B49" s="13" t="s">
        <v>15</v>
      </c>
      <c r="C49" s="13" t="s">
        <v>2</v>
      </c>
      <c r="D49" s="6">
        <v>4500</v>
      </c>
      <c r="E49">
        <v>15</v>
      </c>
      <c r="F49" s="3"/>
      <c r="K49" s="8"/>
    </row>
    <row r="50" spans="1:11" x14ac:dyDescent="0.2">
      <c r="A50" s="4" t="s">
        <v>4</v>
      </c>
      <c r="B50" s="13" t="s">
        <v>14</v>
      </c>
      <c r="C50" s="13" t="s">
        <v>1</v>
      </c>
      <c r="D50" s="6">
        <v>3475</v>
      </c>
      <c r="E50">
        <v>5</v>
      </c>
      <c r="F50" s="3"/>
      <c r="K50" s="8"/>
    </row>
    <row r="51" spans="1:11" x14ac:dyDescent="0.2">
      <c r="A51" s="4" t="s">
        <v>4</v>
      </c>
      <c r="B51" s="13" t="s">
        <v>14</v>
      </c>
      <c r="C51" s="13" t="s">
        <v>1</v>
      </c>
      <c r="D51" s="6">
        <v>3475</v>
      </c>
      <c r="E51">
        <v>5</v>
      </c>
      <c r="F51" s="3"/>
      <c r="K51" s="8"/>
    </row>
    <row r="52" spans="1:11" x14ac:dyDescent="0.2">
      <c r="A52" s="4" t="s">
        <v>5</v>
      </c>
      <c r="B52" s="13" t="s">
        <v>17</v>
      </c>
      <c r="C52" s="13" t="s">
        <v>21</v>
      </c>
      <c r="D52" s="6">
        <v>1350</v>
      </c>
      <c r="E52">
        <v>9</v>
      </c>
      <c r="F52" s="3"/>
      <c r="K52" s="8"/>
    </row>
    <row r="53" spans="1:11" x14ac:dyDescent="0.2">
      <c r="A53" s="4" t="s">
        <v>5</v>
      </c>
      <c r="B53" s="13" t="s">
        <v>17</v>
      </c>
      <c r="C53" s="13" t="s">
        <v>21</v>
      </c>
      <c r="D53" s="6">
        <v>1350</v>
      </c>
      <c r="E53">
        <v>9</v>
      </c>
      <c r="F53" s="3"/>
      <c r="K53" s="8"/>
    </row>
    <row r="54" spans="1:11" x14ac:dyDescent="0.2">
      <c r="A54" s="7" t="s">
        <v>5</v>
      </c>
      <c r="B54" s="13" t="s">
        <v>17</v>
      </c>
      <c r="C54" s="14" t="s">
        <v>2</v>
      </c>
      <c r="D54" s="6">
        <v>4500</v>
      </c>
      <c r="E54">
        <v>5</v>
      </c>
      <c r="F54" s="3"/>
      <c r="K54" s="8"/>
    </row>
    <row r="55" spans="1:11" x14ac:dyDescent="0.2">
      <c r="A55" s="7" t="s">
        <v>5</v>
      </c>
      <c r="B55" s="13" t="s">
        <v>17</v>
      </c>
      <c r="C55" s="14" t="s">
        <v>2</v>
      </c>
      <c r="D55" s="6">
        <v>4500</v>
      </c>
      <c r="E55">
        <v>5</v>
      </c>
      <c r="F55" s="3"/>
      <c r="K55" s="8"/>
    </row>
    <row r="56" spans="1:11" x14ac:dyDescent="0.2">
      <c r="A56" s="4" t="s">
        <v>5</v>
      </c>
      <c r="B56" s="13" t="s">
        <v>17</v>
      </c>
      <c r="C56" s="13" t="s">
        <v>2</v>
      </c>
      <c r="D56" s="6">
        <v>4500</v>
      </c>
      <c r="E56">
        <v>6</v>
      </c>
      <c r="F56" s="3"/>
      <c r="K56" s="8"/>
    </row>
    <row r="57" spans="1:11" x14ac:dyDescent="0.2">
      <c r="A57" s="4" t="s">
        <v>5</v>
      </c>
      <c r="B57" s="13" t="s">
        <v>17</v>
      </c>
      <c r="C57" s="13" t="s">
        <v>2</v>
      </c>
      <c r="D57" s="6">
        <v>4500</v>
      </c>
      <c r="E57">
        <v>6</v>
      </c>
      <c r="F57" s="3"/>
      <c r="K57" s="8"/>
    </row>
    <row r="58" spans="1:11" x14ac:dyDescent="0.2">
      <c r="A58" s="4" t="s">
        <v>5</v>
      </c>
      <c r="B58" s="13" t="s">
        <v>17</v>
      </c>
      <c r="C58" s="13" t="s">
        <v>2</v>
      </c>
      <c r="D58" s="6">
        <v>4500</v>
      </c>
      <c r="E58">
        <v>6</v>
      </c>
      <c r="F58" s="3"/>
      <c r="K58" s="8"/>
    </row>
    <row r="59" spans="1:11" x14ac:dyDescent="0.2">
      <c r="A59" s="4" t="s">
        <v>5</v>
      </c>
      <c r="B59" s="13" t="s">
        <v>17</v>
      </c>
      <c r="C59" s="13" t="s">
        <v>2</v>
      </c>
      <c r="D59" s="6">
        <v>4500</v>
      </c>
      <c r="E59">
        <v>6</v>
      </c>
      <c r="F59" s="3"/>
      <c r="K59" s="8"/>
    </row>
    <row r="60" spans="1:11" x14ac:dyDescent="0.2">
      <c r="A60" s="4" t="s">
        <v>5</v>
      </c>
      <c r="B60" s="13" t="s">
        <v>15</v>
      </c>
      <c r="C60" s="13" t="s">
        <v>21</v>
      </c>
      <c r="D60" s="6">
        <v>1350</v>
      </c>
      <c r="E60">
        <v>7</v>
      </c>
      <c r="F60" s="3"/>
      <c r="K60" s="8"/>
    </row>
    <row r="61" spans="1:11" x14ac:dyDescent="0.2">
      <c r="A61" s="4" t="s">
        <v>5</v>
      </c>
      <c r="B61" s="13" t="s">
        <v>15</v>
      </c>
      <c r="C61" s="13" t="s">
        <v>21</v>
      </c>
      <c r="D61" s="6">
        <v>1350</v>
      </c>
      <c r="E61">
        <v>7</v>
      </c>
      <c r="F61" s="3"/>
      <c r="K61" s="8"/>
    </row>
    <row r="62" spans="1:11" x14ac:dyDescent="0.2">
      <c r="A62" s="4" t="s">
        <v>20</v>
      </c>
      <c r="B62" s="13" t="s">
        <v>17</v>
      </c>
      <c r="C62" s="13" t="s">
        <v>10</v>
      </c>
      <c r="D62" s="6">
        <v>890</v>
      </c>
      <c r="E62">
        <v>7</v>
      </c>
      <c r="F62" s="3"/>
      <c r="K62" s="8"/>
    </row>
    <row r="63" spans="1:11" x14ac:dyDescent="0.2">
      <c r="A63" s="4" t="s">
        <v>20</v>
      </c>
      <c r="B63" s="13" t="s">
        <v>17</v>
      </c>
      <c r="C63" s="13" t="s">
        <v>10</v>
      </c>
      <c r="D63" s="6">
        <v>890</v>
      </c>
      <c r="E63">
        <v>7</v>
      </c>
      <c r="F63" s="3"/>
      <c r="K63" s="8"/>
    </row>
    <row r="64" spans="1:11" x14ac:dyDescent="0.2">
      <c r="A64" s="4" t="s">
        <v>20</v>
      </c>
      <c r="B64" s="13" t="s">
        <v>16</v>
      </c>
      <c r="C64" s="13" t="s">
        <v>2</v>
      </c>
      <c r="D64" s="6">
        <v>4500</v>
      </c>
      <c r="E64">
        <v>5</v>
      </c>
      <c r="F64" s="3"/>
      <c r="K64" s="8"/>
    </row>
    <row r="65" spans="1:11" x14ac:dyDescent="0.2">
      <c r="A65" s="4" t="s">
        <v>20</v>
      </c>
      <c r="B65" s="13" t="s">
        <v>16</v>
      </c>
      <c r="C65" s="13" t="s">
        <v>2</v>
      </c>
      <c r="D65" s="6">
        <v>4500</v>
      </c>
      <c r="E65">
        <v>5</v>
      </c>
      <c r="F65" s="3"/>
      <c r="K65" s="8"/>
    </row>
    <row r="66" spans="1:11" x14ac:dyDescent="0.2">
      <c r="A66" s="4" t="s">
        <v>20</v>
      </c>
      <c r="B66" s="13" t="s">
        <v>16</v>
      </c>
      <c r="C66" s="13" t="s">
        <v>2</v>
      </c>
      <c r="D66" s="6">
        <v>4500</v>
      </c>
      <c r="E66">
        <v>7</v>
      </c>
      <c r="F66" s="3"/>
      <c r="K66" s="8"/>
    </row>
    <row r="67" spans="1:11" x14ac:dyDescent="0.2">
      <c r="A67" s="4" t="s">
        <v>20</v>
      </c>
      <c r="B67" s="13" t="s">
        <v>16</v>
      </c>
      <c r="C67" s="13" t="s">
        <v>2</v>
      </c>
      <c r="D67" s="6">
        <v>4500</v>
      </c>
      <c r="E67">
        <v>7</v>
      </c>
      <c r="F67" s="3"/>
      <c r="K67" s="8"/>
    </row>
    <row r="68" spans="1:11" x14ac:dyDescent="0.2">
      <c r="A68" s="4" t="s">
        <v>20</v>
      </c>
      <c r="B68" s="13" t="s">
        <v>15</v>
      </c>
      <c r="C68" s="13" t="s">
        <v>1</v>
      </c>
      <c r="D68" s="6">
        <v>3475</v>
      </c>
      <c r="E68">
        <v>8</v>
      </c>
      <c r="F68" s="3"/>
      <c r="K68" s="8"/>
    </row>
    <row r="69" spans="1:11" x14ac:dyDescent="0.2">
      <c r="A69" s="4" t="s">
        <v>20</v>
      </c>
      <c r="B69" s="13" t="s">
        <v>15</v>
      </c>
      <c r="C69" s="13" t="s">
        <v>1</v>
      </c>
      <c r="D69" s="6">
        <v>3475</v>
      </c>
      <c r="E69">
        <v>8</v>
      </c>
      <c r="F69" s="3"/>
      <c r="K69" s="8"/>
    </row>
    <row r="70" spans="1:11" x14ac:dyDescent="0.2">
      <c r="A70" s="4" t="s">
        <v>20</v>
      </c>
      <c r="B70" s="13" t="s">
        <v>14</v>
      </c>
      <c r="C70" s="13" t="s">
        <v>2</v>
      </c>
      <c r="D70" s="6">
        <v>4500</v>
      </c>
      <c r="E70">
        <v>4</v>
      </c>
      <c r="F70" s="3"/>
      <c r="K70" s="8"/>
    </row>
    <row r="71" spans="1:11" x14ac:dyDescent="0.2">
      <c r="A71" s="4" t="s">
        <v>20</v>
      </c>
      <c r="B71" s="13" t="s">
        <v>14</v>
      </c>
      <c r="C71" s="13" t="s">
        <v>2</v>
      </c>
      <c r="D71" s="6">
        <v>4500</v>
      </c>
      <c r="E71">
        <v>4</v>
      </c>
      <c r="F71" s="3"/>
      <c r="K71" s="8"/>
    </row>
  </sheetData>
  <phoneticPr fontId="3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853B-913A-4410-BC24-F0CC4883EFBA}">
  <sheetPr>
    <tabColor theme="3" tint="0.39997558519241921"/>
  </sheetPr>
  <dimension ref="A1:O77"/>
  <sheetViews>
    <sheetView tabSelected="1" zoomScale="115" zoomScaleNormal="115" workbookViewId="0">
      <selection activeCell="D75" sqref="D75:F77"/>
    </sheetView>
  </sheetViews>
  <sheetFormatPr defaultRowHeight="12.75" x14ac:dyDescent="0.2"/>
  <cols>
    <col min="1" max="1" width="21.140625" customWidth="1"/>
    <col min="2" max="2" width="13.7109375" customWidth="1"/>
    <col min="3" max="3" width="14.85546875" customWidth="1"/>
    <col min="4" max="4" width="13" customWidth="1"/>
    <col min="5" max="5" width="6.5703125" customWidth="1"/>
    <col min="6" max="6" width="18.140625" customWidth="1"/>
    <col min="9" max="9" width="16.85546875" customWidth="1"/>
    <col min="10" max="10" width="18.85546875" customWidth="1"/>
    <col min="11" max="11" width="17.28515625" customWidth="1"/>
    <col min="12" max="12" width="15.28515625" customWidth="1"/>
    <col min="13" max="13" width="15.7109375" customWidth="1"/>
    <col min="14" max="14" width="13.7109375" customWidth="1"/>
    <col min="15" max="15" width="12.85546875" bestFit="1" customWidth="1"/>
  </cols>
  <sheetData>
    <row r="1" spans="1:11" ht="23.25" customHeight="1" x14ac:dyDescent="0.3">
      <c r="A1" s="30" t="s">
        <v>18</v>
      </c>
      <c r="B1" s="30"/>
      <c r="C1" s="30"/>
      <c r="D1" s="30"/>
      <c r="E1" s="30"/>
      <c r="F1" s="30"/>
    </row>
    <row r="2" spans="1:11" ht="20.25" customHeight="1" x14ac:dyDescent="0.2">
      <c r="A2" s="31" t="s">
        <v>23</v>
      </c>
      <c r="B2" s="31"/>
      <c r="C2" s="31"/>
      <c r="D2" s="31"/>
      <c r="E2" s="31"/>
      <c r="F2" s="31"/>
    </row>
    <row r="4" spans="1:11" ht="25.5" x14ac:dyDescent="0.2">
      <c r="A4" s="29" t="s">
        <v>0</v>
      </c>
      <c r="B4" s="29" t="s">
        <v>13</v>
      </c>
      <c r="C4" s="29" t="s">
        <v>6</v>
      </c>
      <c r="D4" s="29" t="s">
        <v>7</v>
      </c>
      <c r="E4" s="29" t="s">
        <v>8</v>
      </c>
      <c r="F4" s="29" t="s">
        <v>9</v>
      </c>
    </row>
    <row r="5" spans="1:11" x14ac:dyDescent="0.2">
      <c r="A5" s="18" t="s">
        <v>22</v>
      </c>
      <c r="B5" s="17" t="s">
        <v>17</v>
      </c>
      <c r="C5" s="17" t="s">
        <v>1</v>
      </c>
      <c r="D5" s="19">
        <v>3475</v>
      </c>
      <c r="E5" s="17">
        <v>8</v>
      </c>
      <c r="F5" s="19">
        <f>D5*E5</f>
        <v>27800</v>
      </c>
    </row>
    <row r="6" spans="1:11" x14ac:dyDescent="0.2">
      <c r="A6" s="18" t="s">
        <v>22</v>
      </c>
      <c r="B6" s="17" t="s">
        <v>17</v>
      </c>
      <c r="C6" s="17" t="s">
        <v>1</v>
      </c>
      <c r="D6" s="19">
        <v>3475</v>
      </c>
      <c r="E6" s="17">
        <v>8</v>
      </c>
      <c r="F6" s="19">
        <f t="shared" ref="F6:F69" si="0">D6*E6</f>
        <v>27800</v>
      </c>
    </row>
    <row r="7" spans="1:11" x14ac:dyDescent="0.2">
      <c r="A7" s="18" t="s">
        <v>22</v>
      </c>
      <c r="B7" s="17" t="s">
        <v>17</v>
      </c>
      <c r="C7" s="17" t="s">
        <v>12</v>
      </c>
      <c r="D7" s="19">
        <v>12300</v>
      </c>
      <c r="E7" s="17">
        <v>2</v>
      </c>
      <c r="F7" s="19">
        <f t="shared" si="0"/>
        <v>24600</v>
      </c>
    </row>
    <row r="8" spans="1:11" x14ac:dyDescent="0.2">
      <c r="A8" s="18" t="s">
        <v>22</v>
      </c>
      <c r="B8" s="17" t="s">
        <v>17</v>
      </c>
      <c r="C8" s="17" t="s">
        <v>12</v>
      </c>
      <c r="D8" s="19">
        <v>12300</v>
      </c>
      <c r="E8" s="17">
        <v>2</v>
      </c>
      <c r="F8" s="19">
        <f t="shared" si="0"/>
        <v>24600</v>
      </c>
      <c r="I8" s="23"/>
      <c r="K8" s="16"/>
    </row>
    <row r="9" spans="1:11" x14ac:dyDescent="0.2">
      <c r="A9" s="18" t="s">
        <v>22</v>
      </c>
      <c r="B9" s="17" t="s">
        <v>17</v>
      </c>
      <c r="C9" s="17" t="s">
        <v>2</v>
      </c>
      <c r="D9" s="19">
        <v>4500</v>
      </c>
      <c r="E9" s="17">
        <v>6</v>
      </c>
      <c r="F9" s="19">
        <f t="shared" si="0"/>
        <v>27000</v>
      </c>
    </row>
    <row r="10" spans="1:11" x14ac:dyDescent="0.2">
      <c r="A10" s="18" t="s">
        <v>22</v>
      </c>
      <c r="B10" s="17" t="s">
        <v>17</v>
      </c>
      <c r="C10" s="17" t="s">
        <v>2</v>
      </c>
      <c r="D10" s="19">
        <v>4500</v>
      </c>
      <c r="E10" s="17">
        <v>6</v>
      </c>
      <c r="F10" s="19">
        <f t="shared" si="0"/>
        <v>27000</v>
      </c>
    </row>
    <row r="11" spans="1:11" x14ac:dyDescent="0.2">
      <c r="A11" s="18" t="s">
        <v>22</v>
      </c>
      <c r="B11" s="17" t="s">
        <v>16</v>
      </c>
      <c r="C11" s="17" t="s">
        <v>1</v>
      </c>
      <c r="D11" s="19">
        <v>3475</v>
      </c>
      <c r="E11" s="17">
        <v>4</v>
      </c>
      <c r="F11" s="19">
        <f t="shared" si="0"/>
        <v>13900</v>
      </c>
    </row>
    <row r="12" spans="1:11" x14ac:dyDescent="0.2">
      <c r="A12" s="18" t="s">
        <v>22</v>
      </c>
      <c r="B12" s="17" t="s">
        <v>16</v>
      </c>
      <c r="C12" s="17" t="s">
        <v>1</v>
      </c>
      <c r="D12" s="19">
        <v>3475</v>
      </c>
      <c r="E12" s="17">
        <v>4</v>
      </c>
      <c r="F12" s="19">
        <f t="shared" si="0"/>
        <v>13900</v>
      </c>
    </row>
    <row r="13" spans="1:11" x14ac:dyDescent="0.2">
      <c r="A13" s="18" t="s">
        <v>22</v>
      </c>
      <c r="B13" s="17" t="s">
        <v>16</v>
      </c>
      <c r="C13" s="17" t="s">
        <v>10</v>
      </c>
      <c r="D13" s="19">
        <v>890</v>
      </c>
      <c r="E13" s="17">
        <v>9</v>
      </c>
      <c r="F13" s="19">
        <f t="shared" si="0"/>
        <v>8010</v>
      </c>
      <c r="I13" s="18"/>
      <c r="J13" s="6"/>
    </row>
    <row r="14" spans="1:11" x14ac:dyDescent="0.2">
      <c r="A14" s="18" t="s">
        <v>22</v>
      </c>
      <c r="B14" s="17" t="s">
        <v>16</v>
      </c>
      <c r="C14" s="17" t="s">
        <v>10</v>
      </c>
      <c r="D14" s="19">
        <v>890</v>
      </c>
      <c r="E14" s="17">
        <v>9</v>
      </c>
      <c r="F14" s="19">
        <f t="shared" si="0"/>
        <v>8010</v>
      </c>
      <c r="I14" s="18"/>
      <c r="J14" s="6"/>
    </row>
    <row r="15" spans="1:11" x14ac:dyDescent="0.2">
      <c r="A15" s="18" t="s">
        <v>22</v>
      </c>
      <c r="B15" s="17" t="s">
        <v>15</v>
      </c>
      <c r="C15" s="17" t="s">
        <v>21</v>
      </c>
      <c r="D15" s="19">
        <v>1350</v>
      </c>
      <c r="E15" s="17">
        <v>4</v>
      </c>
      <c r="F15" s="19">
        <f t="shared" si="0"/>
        <v>5400</v>
      </c>
      <c r="I15" s="18"/>
      <c r="J15" s="6"/>
    </row>
    <row r="16" spans="1:11" x14ac:dyDescent="0.2">
      <c r="A16" s="18" t="s">
        <v>22</v>
      </c>
      <c r="B16" s="17" t="s">
        <v>15</v>
      </c>
      <c r="C16" s="17" t="s">
        <v>21</v>
      </c>
      <c r="D16" s="19">
        <v>1350</v>
      </c>
      <c r="E16" s="17">
        <v>4</v>
      </c>
      <c r="F16" s="19">
        <f t="shared" si="0"/>
        <v>5400</v>
      </c>
      <c r="I16" s="18"/>
      <c r="J16" s="6"/>
    </row>
    <row r="17" spans="1:10" x14ac:dyDescent="0.2">
      <c r="A17" s="18" t="s">
        <v>22</v>
      </c>
      <c r="B17" s="17" t="s">
        <v>15</v>
      </c>
      <c r="C17" s="17" t="s">
        <v>2</v>
      </c>
      <c r="D17" s="19">
        <v>4500</v>
      </c>
      <c r="E17" s="17">
        <v>2</v>
      </c>
      <c r="F17" s="19">
        <f t="shared" si="0"/>
        <v>9000</v>
      </c>
    </row>
    <row r="18" spans="1:10" x14ac:dyDescent="0.2">
      <c r="A18" s="18" t="s">
        <v>22</v>
      </c>
      <c r="B18" s="17" t="s">
        <v>15</v>
      </c>
      <c r="C18" s="17" t="s">
        <v>2</v>
      </c>
      <c r="D18" s="19">
        <v>4500</v>
      </c>
      <c r="E18" s="17">
        <v>2</v>
      </c>
      <c r="F18" s="19">
        <f t="shared" si="0"/>
        <v>9000</v>
      </c>
      <c r="I18" s="24"/>
      <c r="J18" s="26"/>
    </row>
    <row r="19" spans="1:10" x14ac:dyDescent="0.2">
      <c r="A19" s="18" t="s">
        <v>22</v>
      </c>
      <c r="B19" s="17" t="s">
        <v>14</v>
      </c>
      <c r="C19" s="17" t="s">
        <v>2</v>
      </c>
      <c r="D19" s="19">
        <v>4500</v>
      </c>
      <c r="E19" s="17">
        <v>12</v>
      </c>
      <c r="F19" s="19">
        <f t="shared" si="0"/>
        <v>54000</v>
      </c>
    </row>
    <row r="20" spans="1:10" x14ac:dyDescent="0.2">
      <c r="A20" s="18" t="s">
        <v>22</v>
      </c>
      <c r="B20" s="17" t="s">
        <v>14</v>
      </c>
      <c r="C20" s="17" t="s">
        <v>2</v>
      </c>
      <c r="D20" s="19">
        <v>4500</v>
      </c>
      <c r="E20" s="17">
        <v>12</v>
      </c>
      <c r="F20" s="19">
        <f t="shared" si="0"/>
        <v>54000</v>
      </c>
      <c r="I20" s="16"/>
    </row>
    <row r="21" spans="1:10" x14ac:dyDescent="0.2">
      <c r="A21" s="18" t="s">
        <v>3</v>
      </c>
      <c r="B21" s="17" t="s">
        <v>17</v>
      </c>
      <c r="C21" s="17" t="s">
        <v>21</v>
      </c>
      <c r="D21" s="19">
        <v>1350</v>
      </c>
      <c r="E21" s="17">
        <v>7</v>
      </c>
      <c r="F21" s="19">
        <f t="shared" si="0"/>
        <v>9450</v>
      </c>
    </row>
    <row r="22" spans="1:10" x14ac:dyDescent="0.2">
      <c r="A22" s="18" t="s">
        <v>3</v>
      </c>
      <c r="B22" s="17" t="s">
        <v>17</v>
      </c>
      <c r="C22" s="17" t="s">
        <v>21</v>
      </c>
      <c r="D22" s="19">
        <v>1350</v>
      </c>
      <c r="E22" s="17">
        <v>7</v>
      </c>
      <c r="F22" s="19">
        <f t="shared" si="0"/>
        <v>9450</v>
      </c>
      <c r="I22" s="12"/>
      <c r="J22" s="6"/>
    </row>
    <row r="23" spans="1:10" x14ac:dyDescent="0.2">
      <c r="A23" s="18" t="s">
        <v>3</v>
      </c>
      <c r="B23" s="17" t="s">
        <v>17</v>
      </c>
      <c r="C23" s="17" t="s">
        <v>21</v>
      </c>
      <c r="D23" s="19">
        <v>1350</v>
      </c>
      <c r="E23" s="17">
        <v>7</v>
      </c>
      <c r="F23" s="19">
        <f t="shared" si="0"/>
        <v>9450</v>
      </c>
      <c r="I23" s="12"/>
      <c r="J23" s="6"/>
    </row>
    <row r="24" spans="1:10" x14ac:dyDescent="0.2">
      <c r="A24" s="18" t="s">
        <v>3</v>
      </c>
      <c r="B24" s="17" t="s">
        <v>17</v>
      </c>
      <c r="C24" s="17" t="s">
        <v>21</v>
      </c>
      <c r="D24" s="19">
        <v>1350</v>
      </c>
      <c r="E24" s="17">
        <v>10</v>
      </c>
      <c r="F24" s="19">
        <f t="shared" si="0"/>
        <v>13500</v>
      </c>
      <c r="I24" s="12"/>
      <c r="J24" s="6"/>
    </row>
    <row r="25" spans="1:10" x14ac:dyDescent="0.2">
      <c r="A25" s="18" t="s">
        <v>3</v>
      </c>
      <c r="B25" s="17" t="s">
        <v>17</v>
      </c>
      <c r="C25" s="17" t="s">
        <v>21</v>
      </c>
      <c r="D25" s="19">
        <v>1350</v>
      </c>
      <c r="E25" s="17">
        <v>10</v>
      </c>
      <c r="F25" s="19">
        <f t="shared" si="0"/>
        <v>13500</v>
      </c>
      <c r="I25" s="12"/>
      <c r="J25" s="6"/>
    </row>
    <row r="26" spans="1:10" x14ac:dyDescent="0.2">
      <c r="A26" s="18" t="s">
        <v>3</v>
      </c>
      <c r="B26" s="17" t="s">
        <v>17</v>
      </c>
      <c r="C26" s="17" t="s">
        <v>11</v>
      </c>
      <c r="D26" s="19">
        <v>23000</v>
      </c>
      <c r="E26" s="17">
        <v>9</v>
      </c>
      <c r="F26" s="19">
        <f t="shared" si="0"/>
        <v>207000</v>
      </c>
      <c r="I26" s="12"/>
      <c r="J26" s="6"/>
    </row>
    <row r="27" spans="1:10" x14ac:dyDescent="0.2">
      <c r="A27" s="18" t="s">
        <v>3</v>
      </c>
      <c r="B27" s="17" t="s">
        <v>17</v>
      </c>
      <c r="C27" s="17" t="s">
        <v>11</v>
      </c>
      <c r="D27" s="19">
        <v>23000</v>
      </c>
      <c r="E27" s="17">
        <v>9</v>
      </c>
      <c r="F27" s="19">
        <f t="shared" si="0"/>
        <v>207000</v>
      </c>
      <c r="I27" s="18"/>
      <c r="J27" s="6"/>
    </row>
    <row r="28" spans="1:10" x14ac:dyDescent="0.2">
      <c r="A28" s="18" t="s">
        <v>3</v>
      </c>
      <c r="B28" s="17" t="s">
        <v>16</v>
      </c>
      <c r="C28" s="17" t="s">
        <v>1</v>
      </c>
      <c r="D28" s="19">
        <v>3475</v>
      </c>
      <c r="E28" s="17">
        <v>8</v>
      </c>
      <c r="F28" s="19">
        <f t="shared" si="0"/>
        <v>27800</v>
      </c>
      <c r="I28" s="24"/>
      <c r="J28" s="25"/>
    </row>
    <row r="29" spans="1:10" x14ac:dyDescent="0.2">
      <c r="A29" s="18" t="s">
        <v>3</v>
      </c>
      <c r="B29" s="17" t="s">
        <v>16</v>
      </c>
      <c r="C29" s="17" t="s">
        <v>1</v>
      </c>
      <c r="D29" s="19">
        <v>3475</v>
      </c>
      <c r="E29" s="17">
        <v>8</v>
      </c>
      <c r="F29" s="19">
        <f t="shared" si="0"/>
        <v>27800</v>
      </c>
    </row>
    <row r="30" spans="1:10" x14ac:dyDescent="0.2">
      <c r="A30" s="18" t="s">
        <v>3</v>
      </c>
      <c r="B30" s="17" t="s">
        <v>16</v>
      </c>
      <c r="C30" s="17" t="s">
        <v>12</v>
      </c>
      <c r="D30" s="19">
        <v>12300</v>
      </c>
      <c r="E30" s="17">
        <v>5</v>
      </c>
      <c r="F30" s="19">
        <f t="shared" si="0"/>
        <v>61500</v>
      </c>
    </row>
    <row r="31" spans="1:10" x14ac:dyDescent="0.2">
      <c r="A31" s="18" t="s">
        <v>3</v>
      </c>
      <c r="B31" s="17" t="s">
        <v>16</v>
      </c>
      <c r="C31" s="17" t="s">
        <v>12</v>
      </c>
      <c r="D31" s="19">
        <v>12300</v>
      </c>
      <c r="E31" s="17">
        <v>5</v>
      </c>
      <c r="F31" s="19">
        <f t="shared" si="0"/>
        <v>61500</v>
      </c>
      <c r="I31" s="16"/>
      <c r="J31" s="6"/>
    </row>
    <row r="32" spans="1:10" x14ac:dyDescent="0.2">
      <c r="A32" s="18" t="s">
        <v>3</v>
      </c>
      <c r="B32" s="17" t="s">
        <v>16</v>
      </c>
      <c r="C32" s="17" t="s">
        <v>2</v>
      </c>
      <c r="D32" s="19">
        <v>4500</v>
      </c>
      <c r="E32" s="17">
        <v>7</v>
      </c>
      <c r="F32" s="19">
        <f t="shared" si="0"/>
        <v>31500</v>
      </c>
      <c r="I32" s="16"/>
      <c r="J32" s="6"/>
    </row>
    <row r="33" spans="1:15" x14ac:dyDescent="0.2">
      <c r="A33" s="18" t="s">
        <v>3</v>
      </c>
      <c r="B33" s="17" t="s">
        <v>16</v>
      </c>
      <c r="C33" s="17" t="s">
        <v>11</v>
      </c>
      <c r="D33" s="19">
        <v>23000</v>
      </c>
      <c r="E33" s="17">
        <v>3</v>
      </c>
      <c r="F33" s="19">
        <f t="shared" si="0"/>
        <v>69000</v>
      </c>
      <c r="I33" s="16"/>
      <c r="J33" s="6"/>
    </row>
    <row r="34" spans="1:15" x14ac:dyDescent="0.2">
      <c r="A34" s="18" t="s">
        <v>3</v>
      </c>
      <c r="B34" s="17" t="s">
        <v>16</v>
      </c>
      <c r="C34" s="17" t="s">
        <v>11</v>
      </c>
      <c r="D34" s="19">
        <v>23000</v>
      </c>
      <c r="E34" s="17">
        <v>3</v>
      </c>
      <c r="F34" s="19">
        <f t="shared" si="0"/>
        <v>69000</v>
      </c>
      <c r="I34" s="16"/>
      <c r="J34" s="6"/>
    </row>
    <row r="35" spans="1:15" x14ac:dyDescent="0.2">
      <c r="A35" s="18" t="s">
        <v>3</v>
      </c>
      <c r="B35" s="17" t="s">
        <v>15</v>
      </c>
      <c r="C35" s="17" t="s">
        <v>1</v>
      </c>
      <c r="D35" s="19">
        <v>3475</v>
      </c>
      <c r="E35" s="17">
        <v>12</v>
      </c>
      <c r="F35" s="19">
        <f t="shared" si="0"/>
        <v>41700</v>
      </c>
      <c r="I35" s="23"/>
      <c r="J35" s="25"/>
    </row>
    <row r="36" spans="1:15" x14ac:dyDescent="0.2">
      <c r="A36" s="18" t="s">
        <v>3</v>
      </c>
      <c r="B36" s="17" t="s">
        <v>15</v>
      </c>
      <c r="C36" s="17" t="s">
        <v>1</v>
      </c>
      <c r="D36" s="20">
        <v>3475</v>
      </c>
      <c r="E36" s="17">
        <v>12</v>
      </c>
      <c r="F36" s="19">
        <f t="shared" si="0"/>
        <v>41700</v>
      </c>
    </row>
    <row r="37" spans="1:15" x14ac:dyDescent="0.2">
      <c r="A37" s="18" t="s">
        <v>3</v>
      </c>
      <c r="B37" s="17" t="s">
        <v>14</v>
      </c>
      <c r="C37" s="17" t="s">
        <v>21</v>
      </c>
      <c r="D37" s="20">
        <v>1350</v>
      </c>
      <c r="E37" s="17">
        <v>3</v>
      </c>
      <c r="F37" s="19">
        <f t="shared" si="0"/>
        <v>4050</v>
      </c>
    </row>
    <row r="38" spans="1:15" x14ac:dyDescent="0.2">
      <c r="A38" s="18" t="s">
        <v>3</v>
      </c>
      <c r="B38" s="17" t="s">
        <v>14</v>
      </c>
      <c r="C38" s="17" t="s">
        <v>21</v>
      </c>
      <c r="D38" s="20">
        <v>1350</v>
      </c>
      <c r="E38" s="17">
        <v>3</v>
      </c>
      <c r="F38" s="19">
        <f t="shared" si="0"/>
        <v>4050</v>
      </c>
    </row>
    <row r="39" spans="1:15" x14ac:dyDescent="0.2">
      <c r="A39" s="18" t="s">
        <v>4</v>
      </c>
      <c r="B39" s="17" t="s">
        <v>17</v>
      </c>
      <c r="C39" s="17" t="s">
        <v>2</v>
      </c>
      <c r="D39" s="20">
        <v>4500</v>
      </c>
      <c r="E39" s="17">
        <v>3</v>
      </c>
      <c r="F39" s="19">
        <f t="shared" si="0"/>
        <v>13500</v>
      </c>
    </row>
    <row r="40" spans="1:15" x14ac:dyDescent="0.2">
      <c r="A40" s="18" t="s">
        <v>4</v>
      </c>
      <c r="B40" s="17" t="s">
        <v>17</v>
      </c>
      <c r="C40" s="17" t="s">
        <v>2</v>
      </c>
      <c r="D40" s="20">
        <v>4500</v>
      </c>
      <c r="E40" s="17">
        <v>4</v>
      </c>
      <c r="F40" s="19">
        <f t="shared" si="0"/>
        <v>18000</v>
      </c>
      <c r="I40" s="21"/>
    </row>
    <row r="41" spans="1:15" x14ac:dyDescent="0.2">
      <c r="A41" s="18" t="s">
        <v>4</v>
      </c>
      <c r="B41" s="17" t="s">
        <v>17</v>
      </c>
      <c r="C41" s="17" t="s">
        <v>2</v>
      </c>
      <c r="D41" s="20">
        <v>4500</v>
      </c>
      <c r="E41" s="17">
        <v>4</v>
      </c>
      <c r="F41" s="19">
        <f t="shared" si="0"/>
        <v>18000</v>
      </c>
    </row>
    <row r="42" spans="1:15" x14ac:dyDescent="0.2">
      <c r="A42" s="18" t="s">
        <v>4</v>
      </c>
      <c r="B42" s="17" t="s">
        <v>17</v>
      </c>
      <c r="C42" s="17" t="s">
        <v>2</v>
      </c>
      <c r="D42" s="19">
        <v>4500</v>
      </c>
      <c r="E42" s="17">
        <v>4</v>
      </c>
      <c r="F42" s="19">
        <f t="shared" si="0"/>
        <v>18000</v>
      </c>
    </row>
    <row r="43" spans="1:15" x14ac:dyDescent="0.2">
      <c r="A43" s="18" t="s">
        <v>4</v>
      </c>
      <c r="B43" s="17" t="s">
        <v>17</v>
      </c>
      <c r="C43" s="17" t="s">
        <v>2</v>
      </c>
      <c r="D43" s="19">
        <v>4500</v>
      </c>
      <c r="E43" s="17">
        <v>4</v>
      </c>
      <c r="F43" s="19">
        <f t="shared" si="0"/>
        <v>18000</v>
      </c>
      <c r="I43" s="16"/>
      <c r="J43" s="6"/>
      <c r="K43" s="6"/>
      <c r="L43" s="6"/>
      <c r="M43" s="6"/>
      <c r="N43" s="6"/>
      <c r="O43" s="8"/>
    </row>
    <row r="44" spans="1:15" x14ac:dyDescent="0.2">
      <c r="A44" s="18" t="s">
        <v>4</v>
      </c>
      <c r="B44" s="17" t="s">
        <v>16</v>
      </c>
      <c r="C44" s="17" t="s">
        <v>2</v>
      </c>
      <c r="D44" s="19">
        <v>4500</v>
      </c>
      <c r="E44" s="17">
        <v>8</v>
      </c>
      <c r="F44" s="19">
        <f t="shared" si="0"/>
        <v>36000</v>
      </c>
      <c r="I44" s="16"/>
      <c r="J44" s="6"/>
      <c r="K44" s="6"/>
      <c r="L44" s="6"/>
      <c r="M44" s="6"/>
      <c r="N44" s="6"/>
      <c r="O44" s="8"/>
    </row>
    <row r="45" spans="1:15" x14ac:dyDescent="0.2">
      <c r="A45" s="18" t="s">
        <v>4</v>
      </c>
      <c r="B45" s="17" t="s">
        <v>16</v>
      </c>
      <c r="C45" s="17" t="s">
        <v>2</v>
      </c>
      <c r="D45" s="19">
        <v>4500</v>
      </c>
      <c r="E45" s="17">
        <v>8</v>
      </c>
      <c r="F45" s="19">
        <f t="shared" si="0"/>
        <v>36000</v>
      </c>
      <c r="I45" s="16"/>
      <c r="J45" s="6"/>
      <c r="K45" s="6"/>
      <c r="L45" s="6"/>
      <c r="M45" s="6"/>
      <c r="N45" s="6"/>
      <c r="O45" s="8"/>
    </row>
    <row r="46" spans="1:15" x14ac:dyDescent="0.2">
      <c r="A46" s="18" t="s">
        <v>4</v>
      </c>
      <c r="B46" s="17" t="s">
        <v>15</v>
      </c>
      <c r="C46" s="17" t="s">
        <v>2</v>
      </c>
      <c r="D46" s="19">
        <v>4500</v>
      </c>
      <c r="E46" s="17">
        <v>4</v>
      </c>
      <c r="F46" s="19">
        <f t="shared" si="0"/>
        <v>18000</v>
      </c>
      <c r="I46" s="16"/>
      <c r="J46" s="6"/>
      <c r="K46" s="6"/>
      <c r="L46" s="6"/>
      <c r="M46" s="6"/>
      <c r="N46" s="6"/>
      <c r="O46" s="8"/>
    </row>
    <row r="47" spans="1:15" x14ac:dyDescent="0.2">
      <c r="A47" s="18" t="s">
        <v>4</v>
      </c>
      <c r="B47" s="17" t="s">
        <v>15</v>
      </c>
      <c r="C47" s="17" t="s">
        <v>2</v>
      </c>
      <c r="D47" s="19">
        <v>4500</v>
      </c>
      <c r="E47" s="17">
        <v>4</v>
      </c>
      <c r="F47" s="19">
        <f t="shared" si="0"/>
        <v>18000</v>
      </c>
      <c r="I47" s="16"/>
      <c r="J47" s="8"/>
      <c r="K47" s="6"/>
      <c r="L47" s="8"/>
      <c r="M47" s="8"/>
      <c r="N47" s="8"/>
      <c r="O47" s="26"/>
    </row>
    <row r="48" spans="1:15" x14ac:dyDescent="0.2">
      <c r="A48" s="18" t="s">
        <v>4</v>
      </c>
      <c r="B48" s="17" t="s">
        <v>15</v>
      </c>
      <c r="C48" s="17" t="s">
        <v>2</v>
      </c>
      <c r="D48" s="19">
        <v>4500</v>
      </c>
      <c r="E48" s="17">
        <v>15</v>
      </c>
      <c r="F48" s="19">
        <f t="shared" si="0"/>
        <v>67500</v>
      </c>
    </row>
    <row r="49" spans="1:6" x14ac:dyDescent="0.2">
      <c r="A49" s="18" t="s">
        <v>4</v>
      </c>
      <c r="B49" s="17" t="s">
        <v>15</v>
      </c>
      <c r="C49" s="17" t="s">
        <v>2</v>
      </c>
      <c r="D49" s="19">
        <v>4500</v>
      </c>
      <c r="E49" s="17">
        <v>15</v>
      </c>
      <c r="F49" s="19">
        <f t="shared" si="0"/>
        <v>67500</v>
      </c>
    </row>
    <row r="50" spans="1:6" x14ac:dyDescent="0.2">
      <c r="A50" s="18" t="s">
        <v>4</v>
      </c>
      <c r="B50" s="17" t="s">
        <v>14</v>
      </c>
      <c r="C50" s="17" t="s">
        <v>1</v>
      </c>
      <c r="D50" s="19">
        <v>3475</v>
      </c>
      <c r="E50" s="17">
        <v>5</v>
      </c>
      <c r="F50" s="19">
        <f t="shared" si="0"/>
        <v>17375</v>
      </c>
    </row>
    <row r="51" spans="1:6" x14ac:dyDescent="0.2">
      <c r="A51" s="18" t="s">
        <v>4</v>
      </c>
      <c r="B51" s="17" t="s">
        <v>14</v>
      </c>
      <c r="C51" s="17" t="s">
        <v>1</v>
      </c>
      <c r="D51" s="19">
        <v>3475</v>
      </c>
      <c r="E51" s="17">
        <v>5</v>
      </c>
      <c r="F51" s="19">
        <f t="shared" si="0"/>
        <v>17375</v>
      </c>
    </row>
    <row r="52" spans="1:6" x14ac:dyDescent="0.2">
      <c r="A52" s="18" t="s">
        <v>5</v>
      </c>
      <c r="B52" s="17" t="s">
        <v>17</v>
      </c>
      <c r="C52" s="17" t="s">
        <v>21</v>
      </c>
      <c r="D52" s="19">
        <v>1350</v>
      </c>
      <c r="E52" s="17">
        <v>9</v>
      </c>
      <c r="F52" s="19">
        <f t="shared" si="0"/>
        <v>12150</v>
      </c>
    </row>
    <row r="53" spans="1:6" x14ac:dyDescent="0.2">
      <c r="A53" s="18" t="s">
        <v>5</v>
      </c>
      <c r="B53" s="17" t="s">
        <v>17</v>
      </c>
      <c r="C53" s="17" t="s">
        <v>21</v>
      </c>
      <c r="D53" s="19">
        <v>1350</v>
      </c>
      <c r="E53" s="17">
        <v>9</v>
      </c>
      <c r="F53" s="19">
        <f t="shared" si="0"/>
        <v>12150</v>
      </c>
    </row>
    <row r="54" spans="1:6" x14ac:dyDescent="0.2">
      <c r="A54" s="18" t="s">
        <v>5</v>
      </c>
      <c r="B54" s="17" t="s">
        <v>17</v>
      </c>
      <c r="C54" s="17" t="s">
        <v>2</v>
      </c>
      <c r="D54" s="19">
        <v>4500</v>
      </c>
      <c r="E54" s="17">
        <v>5</v>
      </c>
      <c r="F54" s="19">
        <f t="shared" si="0"/>
        <v>22500</v>
      </c>
    </row>
    <row r="55" spans="1:6" x14ac:dyDescent="0.2">
      <c r="A55" s="18" t="s">
        <v>5</v>
      </c>
      <c r="B55" s="17" t="s">
        <v>17</v>
      </c>
      <c r="C55" s="17" t="s">
        <v>2</v>
      </c>
      <c r="D55" s="19">
        <v>4500</v>
      </c>
      <c r="E55" s="17">
        <v>5</v>
      </c>
      <c r="F55" s="19">
        <f t="shared" si="0"/>
        <v>22500</v>
      </c>
    </row>
    <row r="56" spans="1:6" x14ac:dyDescent="0.2">
      <c r="A56" s="18" t="s">
        <v>5</v>
      </c>
      <c r="B56" s="17" t="s">
        <v>17</v>
      </c>
      <c r="C56" s="17" t="s">
        <v>2</v>
      </c>
      <c r="D56" s="19">
        <v>4500</v>
      </c>
      <c r="E56" s="17">
        <v>6</v>
      </c>
      <c r="F56" s="19">
        <f t="shared" si="0"/>
        <v>27000</v>
      </c>
    </row>
    <row r="57" spans="1:6" x14ac:dyDescent="0.2">
      <c r="A57" s="18" t="s">
        <v>5</v>
      </c>
      <c r="B57" s="17" t="s">
        <v>17</v>
      </c>
      <c r="C57" s="17" t="s">
        <v>2</v>
      </c>
      <c r="D57" s="19">
        <v>4500</v>
      </c>
      <c r="E57" s="17">
        <v>6</v>
      </c>
      <c r="F57" s="19">
        <f t="shared" si="0"/>
        <v>27000</v>
      </c>
    </row>
    <row r="58" spans="1:6" x14ac:dyDescent="0.2">
      <c r="A58" s="18" t="s">
        <v>5</v>
      </c>
      <c r="B58" s="17" t="s">
        <v>17</v>
      </c>
      <c r="C58" s="17" t="s">
        <v>2</v>
      </c>
      <c r="D58" s="19">
        <v>4500</v>
      </c>
      <c r="E58" s="17">
        <v>6</v>
      </c>
      <c r="F58" s="19">
        <f t="shared" si="0"/>
        <v>27000</v>
      </c>
    </row>
    <row r="59" spans="1:6" x14ac:dyDescent="0.2">
      <c r="A59" s="18" t="s">
        <v>5</v>
      </c>
      <c r="B59" s="17" t="s">
        <v>17</v>
      </c>
      <c r="C59" s="17" t="s">
        <v>2</v>
      </c>
      <c r="D59" s="19">
        <v>4500</v>
      </c>
      <c r="E59" s="17">
        <v>6</v>
      </c>
      <c r="F59" s="19">
        <f t="shared" si="0"/>
        <v>27000</v>
      </c>
    </row>
    <row r="60" spans="1:6" x14ac:dyDescent="0.2">
      <c r="A60" s="18" t="s">
        <v>5</v>
      </c>
      <c r="B60" s="17" t="s">
        <v>15</v>
      </c>
      <c r="C60" s="17" t="s">
        <v>21</v>
      </c>
      <c r="D60" s="19">
        <v>1350</v>
      </c>
      <c r="E60" s="17">
        <v>7</v>
      </c>
      <c r="F60" s="19">
        <f t="shared" si="0"/>
        <v>9450</v>
      </c>
    </row>
    <row r="61" spans="1:6" x14ac:dyDescent="0.2">
      <c r="A61" s="18" t="s">
        <v>5</v>
      </c>
      <c r="B61" s="17" t="s">
        <v>15</v>
      </c>
      <c r="C61" s="17" t="s">
        <v>21</v>
      </c>
      <c r="D61" s="19">
        <v>1350</v>
      </c>
      <c r="E61" s="17">
        <v>7</v>
      </c>
      <c r="F61" s="19">
        <f t="shared" si="0"/>
        <v>9450</v>
      </c>
    </row>
    <row r="62" spans="1:6" x14ac:dyDescent="0.2">
      <c r="A62" s="18" t="s">
        <v>20</v>
      </c>
      <c r="B62" s="17" t="s">
        <v>17</v>
      </c>
      <c r="C62" s="17" t="s">
        <v>10</v>
      </c>
      <c r="D62" s="19">
        <v>890</v>
      </c>
      <c r="E62" s="17">
        <v>7</v>
      </c>
      <c r="F62" s="19">
        <f t="shared" si="0"/>
        <v>6230</v>
      </c>
    </row>
    <row r="63" spans="1:6" x14ac:dyDescent="0.2">
      <c r="A63" s="18" t="s">
        <v>20</v>
      </c>
      <c r="B63" s="17" t="s">
        <v>17</v>
      </c>
      <c r="C63" s="17" t="s">
        <v>10</v>
      </c>
      <c r="D63" s="19">
        <v>890</v>
      </c>
      <c r="E63" s="17">
        <v>7</v>
      </c>
      <c r="F63" s="19">
        <f t="shared" si="0"/>
        <v>6230</v>
      </c>
    </row>
    <row r="64" spans="1:6" x14ac:dyDescent="0.2">
      <c r="A64" s="18" t="s">
        <v>20</v>
      </c>
      <c r="B64" s="17" t="s">
        <v>16</v>
      </c>
      <c r="C64" s="17" t="s">
        <v>2</v>
      </c>
      <c r="D64" s="19">
        <v>4500</v>
      </c>
      <c r="E64" s="17">
        <v>5</v>
      </c>
      <c r="F64" s="19">
        <f t="shared" si="0"/>
        <v>22500</v>
      </c>
    </row>
    <row r="65" spans="1:6" x14ac:dyDescent="0.2">
      <c r="A65" s="18" t="s">
        <v>20</v>
      </c>
      <c r="B65" s="17" t="s">
        <v>16</v>
      </c>
      <c r="C65" s="17" t="s">
        <v>2</v>
      </c>
      <c r="D65" s="19">
        <v>4500</v>
      </c>
      <c r="E65" s="17">
        <v>5</v>
      </c>
      <c r="F65" s="19">
        <f t="shared" si="0"/>
        <v>22500</v>
      </c>
    </row>
    <row r="66" spans="1:6" x14ac:dyDescent="0.2">
      <c r="A66" s="18" t="s">
        <v>20</v>
      </c>
      <c r="B66" s="17" t="s">
        <v>16</v>
      </c>
      <c r="C66" s="17" t="s">
        <v>2</v>
      </c>
      <c r="D66" s="19">
        <v>4500</v>
      </c>
      <c r="E66" s="17">
        <v>7</v>
      </c>
      <c r="F66" s="19">
        <f t="shared" si="0"/>
        <v>31500</v>
      </c>
    </row>
    <row r="67" spans="1:6" x14ac:dyDescent="0.2">
      <c r="A67" s="18" t="s">
        <v>20</v>
      </c>
      <c r="B67" s="17" t="s">
        <v>16</v>
      </c>
      <c r="C67" s="17" t="s">
        <v>2</v>
      </c>
      <c r="D67" s="19">
        <v>4500</v>
      </c>
      <c r="E67" s="17">
        <v>7</v>
      </c>
      <c r="F67" s="19">
        <f t="shared" si="0"/>
        <v>31500</v>
      </c>
    </row>
    <row r="68" spans="1:6" x14ac:dyDescent="0.2">
      <c r="A68" s="18" t="s">
        <v>20</v>
      </c>
      <c r="B68" s="17" t="s">
        <v>15</v>
      </c>
      <c r="C68" s="17" t="s">
        <v>1</v>
      </c>
      <c r="D68" s="19">
        <v>3475</v>
      </c>
      <c r="E68" s="17">
        <v>8</v>
      </c>
      <c r="F68" s="19">
        <f t="shared" si="0"/>
        <v>27800</v>
      </c>
    </row>
    <row r="69" spans="1:6" x14ac:dyDescent="0.2">
      <c r="A69" s="18" t="s">
        <v>20</v>
      </c>
      <c r="B69" s="17" t="s">
        <v>15</v>
      </c>
      <c r="C69" s="17" t="s">
        <v>1</v>
      </c>
      <c r="D69" s="19">
        <v>3475</v>
      </c>
      <c r="E69" s="17">
        <v>8</v>
      </c>
      <c r="F69" s="19">
        <f t="shared" si="0"/>
        <v>27800</v>
      </c>
    </row>
    <row r="70" spans="1:6" x14ac:dyDescent="0.2">
      <c r="A70" s="18" t="s">
        <v>20</v>
      </c>
      <c r="B70" s="17" t="s">
        <v>14</v>
      </c>
      <c r="C70" s="17" t="s">
        <v>2</v>
      </c>
      <c r="D70" s="19">
        <v>4500</v>
      </c>
      <c r="E70" s="17">
        <v>4</v>
      </c>
      <c r="F70" s="19">
        <f t="shared" ref="F70:F71" si="1">D70*E70</f>
        <v>18000</v>
      </c>
    </row>
    <row r="71" spans="1:6" x14ac:dyDescent="0.2">
      <c r="A71" s="18" t="s">
        <v>20</v>
      </c>
      <c r="B71" s="17" t="s">
        <v>14</v>
      </c>
      <c r="C71" s="17" t="s">
        <v>2</v>
      </c>
      <c r="D71" s="19">
        <v>4500</v>
      </c>
      <c r="E71" s="17">
        <v>4</v>
      </c>
      <c r="F71" s="19">
        <f t="shared" si="1"/>
        <v>18000</v>
      </c>
    </row>
    <row r="73" spans="1:6" x14ac:dyDescent="0.2">
      <c r="E73" s="23"/>
      <c r="F73" s="26"/>
    </row>
    <row r="75" spans="1:6" x14ac:dyDescent="0.2">
      <c r="D75" s="16"/>
      <c r="F75" s="8"/>
    </row>
    <row r="76" spans="1:6" x14ac:dyDescent="0.2">
      <c r="D76" s="16"/>
      <c r="F76" s="8"/>
    </row>
    <row r="77" spans="1:6" x14ac:dyDescent="0.2">
      <c r="D77" s="16"/>
      <c r="F77" s="8"/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566BCEC-2211-4E10-B6B3-68C67A2BB35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'EXERCICIO - Controle  Vendas'!I22:I22</xm:f>
              <xm:sqref>I22</xm:sqref>
            </x14:sparkline>
            <x14:sparkline>
              <xm:f>'EXERCICIO - Controle  Vendas'!J22:J22</xm:f>
              <xm:sqref>J22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O77"/>
  <sheetViews>
    <sheetView workbookViewId="0">
      <selection activeCell="K43" sqref="K43"/>
    </sheetView>
  </sheetViews>
  <sheetFormatPr defaultRowHeight="12.75" x14ac:dyDescent="0.2"/>
  <cols>
    <col min="1" max="1" width="21.140625" customWidth="1"/>
    <col min="2" max="2" width="13.7109375" customWidth="1"/>
    <col min="3" max="3" width="14.85546875" customWidth="1"/>
    <col min="4" max="4" width="13" customWidth="1"/>
    <col min="5" max="5" width="6.5703125" customWidth="1"/>
    <col min="6" max="6" width="18.140625" customWidth="1"/>
    <col min="9" max="9" width="16.85546875" customWidth="1"/>
    <col min="10" max="10" width="18.85546875" customWidth="1"/>
    <col min="11" max="11" width="17.28515625" customWidth="1"/>
    <col min="12" max="12" width="15.28515625" customWidth="1"/>
    <col min="13" max="13" width="15.7109375" customWidth="1"/>
    <col min="14" max="14" width="13.7109375" customWidth="1"/>
    <col min="15" max="15" width="12.85546875" bestFit="1" customWidth="1"/>
  </cols>
  <sheetData>
    <row r="1" spans="1:11" ht="23.25" customHeight="1" x14ac:dyDescent="0.3">
      <c r="A1" s="32" t="s">
        <v>18</v>
      </c>
      <c r="B1" s="32"/>
      <c r="C1" s="32"/>
      <c r="D1" s="32"/>
      <c r="E1" s="32"/>
      <c r="F1" s="32"/>
    </row>
    <row r="2" spans="1:11" ht="20.25" customHeight="1" x14ac:dyDescent="0.2">
      <c r="A2" s="33" t="s">
        <v>23</v>
      </c>
      <c r="B2" s="33"/>
      <c r="C2" s="33"/>
      <c r="D2" s="33"/>
      <c r="E2" s="33"/>
      <c r="F2" s="33"/>
    </row>
    <row r="4" spans="1:11" ht="25.5" x14ac:dyDescent="0.2">
      <c r="A4" s="1" t="s">
        <v>0</v>
      </c>
      <c r="B4" s="1" t="s">
        <v>13</v>
      </c>
      <c r="C4" s="1" t="s">
        <v>6</v>
      </c>
      <c r="D4" s="1" t="s">
        <v>7</v>
      </c>
      <c r="E4" s="1" t="s">
        <v>8</v>
      </c>
      <c r="F4" s="1" t="s">
        <v>9</v>
      </c>
    </row>
    <row r="5" spans="1:11" x14ac:dyDescent="0.2">
      <c r="A5" s="18" t="s">
        <v>22</v>
      </c>
      <c r="B5" s="17" t="s">
        <v>17</v>
      </c>
      <c r="C5" s="17" t="s">
        <v>1</v>
      </c>
      <c r="D5" s="19">
        <v>3475</v>
      </c>
      <c r="E5" s="17">
        <v>8</v>
      </c>
      <c r="F5" s="19">
        <f>D5*E5</f>
        <v>27800</v>
      </c>
    </row>
    <row r="6" spans="1:11" x14ac:dyDescent="0.2">
      <c r="A6" s="18" t="s">
        <v>22</v>
      </c>
      <c r="B6" s="17" t="s">
        <v>17</v>
      </c>
      <c r="C6" s="17" t="s">
        <v>1</v>
      </c>
      <c r="D6" s="19">
        <v>3475</v>
      </c>
      <c r="E6" s="17">
        <v>8</v>
      </c>
      <c r="F6" s="19">
        <f t="shared" ref="F6:F69" si="0">D6*E6</f>
        <v>27800</v>
      </c>
    </row>
    <row r="7" spans="1:11" x14ac:dyDescent="0.2">
      <c r="A7" s="18" t="s">
        <v>22</v>
      </c>
      <c r="B7" s="17" t="s">
        <v>17</v>
      </c>
      <c r="C7" s="17" t="s">
        <v>12</v>
      </c>
      <c r="D7" s="19">
        <v>12300</v>
      </c>
      <c r="E7" s="17">
        <v>2</v>
      </c>
      <c r="F7" s="19">
        <f t="shared" si="0"/>
        <v>24600</v>
      </c>
    </row>
    <row r="8" spans="1:11" x14ac:dyDescent="0.2">
      <c r="A8" s="18" t="s">
        <v>22</v>
      </c>
      <c r="B8" s="17" t="s">
        <v>17</v>
      </c>
      <c r="C8" s="17" t="s">
        <v>12</v>
      </c>
      <c r="D8" s="19">
        <v>12300</v>
      </c>
      <c r="E8" s="17">
        <v>2</v>
      </c>
      <c r="F8" s="19">
        <f t="shared" si="0"/>
        <v>24600</v>
      </c>
      <c r="I8" s="23" t="s">
        <v>30</v>
      </c>
      <c r="K8" s="16" t="s">
        <v>38</v>
      </c>
    </row>
    <row r="9" spans="1:11" x14ac:dyDescent="0.2">
      <c r="A9" s="18" t="s">
        <v>22</v>
      </c>
      <c r="B9" s="17" t="s">
        <v>17</v>
      </c>
      <c r="C9" s="17" t="s">
        <v>2</v>
      </c>
      <c r="D9" s="19">
        <v>4500</v>
      </c>
      <c r="E9" s="17">
        <v>6</v>
      </c>
      <c r="F9" s="19">
        <f t="shared" si="0"/>
        <v>27000</v>
      </c>
    </row>
    <row r="10" spans="1:11" x14ac:dyDescent="0.2">
      <c r="A10" s="18" t="s">
        <v>22</v>
      </c>
      <c r="B10" s="17" t="s">
        <v>17</v>
      </c>
      <c r="C10" s="17" t="s">
        <v>2</v>
      </c>
      <c r="D10" s="19">
        <v>4500</v>
      </c>
      <c r="E10" s="17">
        <v>6</v>
      </c>
      <c r="F10" s="19">
        <f t="shared" si="0"/>
        <v>27000</v>
      </c>
    </row>
    <row r="11" spans="1:11" ht="15.75" x14ac:dyDescent="0.25">
      <c r="A11" s="18" t="s">
        <v>22</v>
      </c>
      <c r="B11" s="17" t="s">
        <v>16</v>
      </c>
      <c r="C11" s="17" t="s">
        <v>1</v>
      </c>
      <c r="D11" s="19">
        <v>3475</v>
      </c>
      <c r="E11" s="17">
        <v>4</v>
      </c>
      <c r="F11" s="19">
        <f t="shared" si="0"/>
        <v>13900</v>
      </c>
      <c r="I11" s="22" t="s">
        <v>19</v>
      </c>
      <c r="J11" s="22" t="s">
        <v>28</v>
      </c>
      <c r="K11" s="16" t="s">
        <v>35</v>
      </c>
    </row>
    <row r="12" spans="1:11" x14ac:dyDescent="0.2">
      <c r="A12" s="18" t="s">
        <v>22</v>
      </c>
      <c r="B12" s="17" t="s">
        <v>16</v>
      </c>
      <c r="C12" s="17" t="s">
        <v>1</v>
      </c>
      <c r="D12" s="19">
        <v>3475</v>
      </c>
      <c r="E12" s="17">
        <v>4</v>
      </c>
      <c r="F12" s="19">
        <f t="shared" si="0"/>
        <v>13900</v>
      </c>
      <c r="I12" s="18" t="s">
        <v>22</v>
      </c>
      <c r="J12" s="6">
        <f>SUMIF($A$5:$A$71,I12,$F$5:$F$71)</f>
        <v>339420</v>
      </c>
      <c r="K12">
        <f>COUNTIFS($A$5:$A$71,I12)</f>
        <v>16</v>
      </c>
    </row>
    <row r="13" spans="1:11" x14ac:dyDescent="0.2">
      <c r="A13" s="18" t="s">
        <v>22</v>
      </c>
      <c r="B13" s="17" t="s">
        <v>16</v>
      </c>
      <c r="C13" s="17" t="s">
        <v>10</v>
      </c>
      <c r="D13" s="19">
        <v>890</v>
      </c>
      <c r="E13" s="17">
        <v>9</v>
      </c>
      <c r="F13" s="19">
        <f t="shared" si="0"/>
        <v>8010</v>
      </c>
      <c r="I13" s="18" t="s">
        <v>3</v>
      </c>
      <c r="J13" s="6">
        <f>SUMIF($A$5:$A$71,I13,$F$5:$F$71)</f>
        <v>908950</v>
      </c>
      <c r="K13">
        <f t="shared" ref="K13:K16" si="1">COUNTIFS($A$5:$A$71,I13)</f>
        <v>18</v>
      </c>
    </row>
    <row r="14" spans="1:11" x14ac:dyDescent="0.2">
      <c r="A14" s="18" t="s">
        <v>22</v>
      </c>
      <c r="B14" s="17" t="s">
        <v>16</v>
      </c>
      <c r="C14" s="17" t="s">
        <v>10</v>
      </c>
      <c r="D14" s="19">
        <v>890</v>
      </c>
      <c r="E14" s="17">
        <v>9</v>
      </c>
      <c r="F14" s="19">
        <f t="shared" si="0"/>
        <v>8010</v>
      </c>
      <c r="I14" s="18" t="s">
        <v>4</v>
      </c>
      <c r="J14" s="6">
        <f>SUMIF($A$5:$A$71,I14,$F$5:$F$71)</f>
        <v>363250</v>
      </c>
      <c r="K14">
        <f t="shared" si="1"/>
        <v>13</v>
      </c>
    </row>
    <row r="15" spans="1:11" x14ac:dyDescent="0.2">
      <c r="A15" s="18" t="s">
        <v>22</v>
      </c>
      <c r="B15" s="17" t="s">
        <v>15</v>
      </c>
      <c r="C15" s="17" t="s">
        <v>21</v>
      </c>
      <c r="D15" s="19">
        <v>1350</v>
      </c>
      <c r="E15" s="17">
        <v>4</v>
      </c>
      <c r="F15" s="19">
        <f t="shared" si="0"/>
        <v>5400</v>
      </c>
      <c r="I15" s="18" t="s">
        <v>5</v>
      </c>
      <c r="J15" s="6">
        <f>SUMIF($A$5:$A$71,I15,$F$5:$F$71)</f>
        <v>196200</v>
      </c>
      <c r="K15">
        <f t="shared" si="1"/>
        <v>10</v>
      </c>
    </row>
    <row r="16" spans="1:11" x14ac:dyDescent="0.2">
      <c r="A16" s="18" t="s">
        <v>22</v>
      </c>
      <c r="B16" s="17" t="s">
        <v>15</v>
      </c>
      <c r="C16" s="17" t="s">
        <v>21</v>
      </c>
      <c r="D16" s="19">
        <v>1350</v>
      </c>
      <c r="E16" s="17">
        <v>4</v>
      </c>
      <c r="F16" s="19">
        <f t="shared" si="0"/>
        <v>5400</v>
      </c>
      <c r="I16" s="18" t="s">
        <v>20</v>
      </c>
      <c r="J16" s="6">
        <f>SUMIF($A$5:$A$71,I16,$F$5:$F$71)</f>
        <v>212060</v>
      </c>
      <c r="K16">
        <f t="shared" si="1"/>
        <v>10</v>
      </c>
    </row>
    <row r="17" spans="1:11" x14ac:dyDescent="0.2">
      <c r="A17" s="18" t="s">
        <v>22</v>
      </c>
      <c r="B17" s="17" t="s">
        <v>15</v>
      </c>
      <c r="C17" s="17" t="s">
        <v>2</v>
      </c>
      <c r="D17" s="19">
        <v>4500</v>
      </c>
      <c r="E17" s="17">
        <v>2</v>
      </c>
      <c r="F17" s="19">
        <f t="shared" si="0"/>
        <v>9000</v>
      </c>
    </row>
    <row r="18" spans="1:11" x14ac:dyDescent="0.2">
      <c r="A18" s="18" t="s">
        <v>22</v>
      </c>
      <c r="B18" s="17" t="s">
        <v>15</v>
      </c>
      <c r="C18" s="17" t="s">
        <v>2</v>
      </c>
      <c r="D18" s="19">
        <v>4500</v>
      </c>
      <c r="E18" s="17">
        <v>2</v>
      </c>
      <c r="F18" s="19">
        <f t="shared" si="0"/>
        <v>9000</v>
      </c>
      <c r="I18" s="24" t="s">
        <v>29</v>
      </c>
      <c r="J18" s="26">
        <f>SUM(J12:J17)</f>
        <v>2019880</v>
      </c>
      <c r="K18">
        <f>SUM(K12:K17)</f>
        <v>67</v>
      </c>
    </row>
    <row r="19" spans="1:11" x14ac:dyDescent="0.2">
      <c r="A19" s="18" t="s">
        <v>22</v>
      </c>
      <c r="B19" s="17" t="s">
        <v>14</v>
      </c>
      <c r="C19" s="17" t="s">
        <v>2</v>
      </c>
      <c r="D19" s="19">
        <v>4500</v>
      </c>
      <c r="E19" s="17">
        <v>12</v>
      </c>
      <c r="F19" s="19">
        <f t="shared" si="0"/>
        <v>54000</v>
      </c>
    </row>
    <row r="20" spans="1:11" x14ac:dyDescent="0.2">
      <c r="A20" s="18" t="s">
        <v>22</v>
      </c>
      <c r="B20" s="17" t="s">
        <v>14</v>
      </c>
      <c r="C20" s="17" t="s">
        <v>2</v>
      </c>
      <c r="D20" s="19">
        <v>4500</v>
      </c>
      <c r="E20" s="17">
        <v>12</v>
      </c>
      <c r="F20" s="19">
        <f t="shared" si="0"/>
        <v>54000</v>
      </c>
      <c r="I20" s="16"/>
    </row>
    <row r="21" spans="1:11" ht="15.75" x14ac:dyDescent="0.25">
      <c r="A21" s="18" t="s">
        <v>3</v>
      </c>
      <c r="B21" s="17" t="s">
        <v>17</v>
      </c>
      <c r="C21" s="17" t="s">
        <v>21</v>
      </c>
      <c r="D21" s="19">
        <v>1350</v>
      </c>
      <c r="E21" s="17">
        <v>7</v>
      </c>
      <c r="F21" s="19">
        <f t="shared" si="0"/>
        <v>9450</v>
      </c>
      <c r="I21" s="22" t="s">
        <v>6</v>
      </c>
      <c r="J21" s="22" t="s">
        <v>31</v>
      </c>
    </row>
    <row r="22" spans="1:11" x14ac:dyDescent="0.2">
      <c r="A22" s="18" t="s">
        <v>3</v>
      </c>
      <c r="B22" s="17" t="s">
        <v>17</v>
      </c>
      <c r="C22" s="17" t="s">
        <v>21</v>
      </c>
      <c r="D22" s="19">
        <v>1350</v>
      </c>
      <c r="E22" s="17">
        <v>7</v>
      </c>
      <c r="F22" s="19">
        <f t="shared" si="0"/>
        <v>9450</v>
      </c>
      <c r="I22" s="12" t="s">
        <v>21</v>
      </c>
      <c r="J22" s="6">
        <f>SUMIF(C5:C71,I22,F5:F71)</f>
        <v>117450</v>
      </c>
    </row>
    <row r="23" spans="1:11" x14ac:dyDescent="0.2">
      <c r="A23" s="18" t="s">
        <v>3</v>
      </c>
      <c r="B23" s="17" t="s">
        <v>17</v>
      </c>
      <c r="C23" s="17" t="s">
        <v>21</v>
      </c>
      <c r="D23" s="19">
        <v>1350</v>
      </c>
      <c r="E23" s="17">
        <v>7</v>
      </c>
      <c r="F23" s="19">
        <f t="shared" si="0"/>
        <v>9450</v>
      </c>
      <c r="I23" s="12" t="s">
        <v>1</v>
      </c>
      <c r="J23" s="6">
        <f>SUMIF($C$5:$C$71,I23,$F$5:$F$71)</f>
        <v>312750</v>
      </c>
    </row>
    <row r="24" spans="1:11" x14ac:dyDescent="0.2">
      <c r="A24" s="18" t="s">
        <v>3</v>
      </c>
      <c r="B24" s="17" t="s">
        <v>17</v>
      </c>
      <c r="C24" s="17" t="s">
        <v>21</v>
      </c>
      <c r="D24" s="19">
        <v>1350</v>
      </c>
      <c r="E24" s="17">
        <v>10</v>
      </c>
      <c r="F24" s="19">
        <f t="shared" si="0"/>
        <v>13500</v>
      </c>
      <c r="I24" s="12" t="s">
        <v>12</v>
      </c>
      <c r="J24" s="6">
        <f t="shared" ref="J24:J27" si="2">SUMIF($C$5:$C$71,I24,$F$5:$F$71)</f>
        <v>172200</v>
      </c>
    </row>
    <row r="25" spans="1:11" x14ac:dyDescent="0.2">
      <c r="A25" s="18" t="s">
        <v>3</v>
      </c>
      <c r="B25" s="17" t="s">
        <v>17</v>
      </c>
      <c r="C25" s="17" t="s">
        <v>21</v>
      </c>
      <c r="D25" s="19">
        <v>1350</v>
      </c>
      <c r="E25" s="17">
        <v>10</v>
      </c>
      <c r="F25" s="19">
        <f t="shared" si="0"/>
        <v>13500</v>
      </c>
      <c r="I25" s="12" t="s">
        <v>10</v>
      </c>
      <c r="J25" s="6">
        <f t="shared" si="2"/>
        <v>28480</v>
      </c>
    </row>
    <row r="26" spans="1:11" x14ac:dyDescent="0.2">
      <c r="A26" s="18" t="s">
        <v>3</v>
      </c>
      <c r="B26" s="17" t="s">
        <v>17</v>
      </c>
      <c r="C26" s="17" t="s">
        <v>11</v>
      </c>
      <c r="D26" s="19">
        <v>23000</v>
      </c>
      <c r="E26" s="17">
        <v>9</v>
      </c>
      <c r="F26" s="19">
        <f t="shared" si="0"/>
        <v>207000</v>
      </c>
      <c r="I26" s="12" t="s">
        <v>2</v>
      </c>
      <c r="J26" s="6">
        <f t="shared" si="2"/>
        <v>837000</v>
      </c>
    </row>
    <row r="27" spans="1:11" x14ac:dyDescent="0.2">
      <c r="A27" s="18" t="s">
        <v>3</v>
      </c>
      <c r="B27" s="17" t="s">
        <v>17</v>
      </c>
      <c r="C27" s="17" t="s">
        <v>11</v>
      </c>
      <c r="D27" s="19">
        <v>23000</v>
      </c>
      <c r="E27" s="17">
        <v>9</v>
      </c>
      <c r="F27" s="19">
        <f t="shared" si="0"/>
        <v>207000</v>
      </c>
      <c r="I27" s="18" t="s">
        <v>11</v>
      </c>
      <c r="J27" s="6">
        <f t="shared" si="2"/>
        <v>552000</v>
      </c>
    </row>
    <row r="28" spans="1:11" x14ac:dyDescent="0.2">
      <c r="A28" s="18" t="s">
        <v>3</v>
      </c>
      <c r="B28" s="17" t="s">
        <v>16</v>
      </c>
      <c r="C28" s="17" t="s">
        <v>1</v>
      </c>
      <c r="D28" s="19">
        <v>3475</v>
      </c>
      <c r="E28" s="17">
        <v>8</v>
      </c>
      <c r="F28" s="19">
        <f t="shared" si="0"/>
        <v>27800</v>
      </c>
      <c r="I28" s="24" t="s">
        <v>33</v>
      </c>
      <c r="J28" s="25">
        <f>SUM(J22:J27)</f>
        <v>2019880</v>
      </c>
    </row>
    <row r="29" spans="1:11" x14ac:dyDescent="0.2">
      <c r="A29" s="18" t="s">
        <v>3</v>
      </c>
      <c r="B29" s="17" t="s">
        <v>16</v>
      </c>
      <c r="C29" s="17" t="s">
        <v>1</v>
      </c>
      <c r="D29" s="19">
        <v>3475</v>
      </c>
      <c r="E29" s="17">
        <v>8</v>
      </c>
      <c r="F29" s="19">
        <f t="shared" si="0"/>
        <v>27800</v>
      </c>
    </row>
    <row r="30" spans="1:11" ht="15.75" x14ac:dyDescent="0.25">
      <c r="A30" s="18" t="s">
        <v>3</v>
      </c>
      <c r="B30" s="17" t="s">
        <v>16</v>
      </c>
      <c r="C30" s="17" t="s">
        <v>12</v>
      </c>
      <c r="D30" s="19">
        <v>12300</v>
      </c>
      <c r="E30" s="17">
        <v>5</v>
      </c>
      <c r="F30" s="19">
        <f t="shared" si="0"/>
        <v>61500</v>
      </c>
      <c r="I30" s="22" t="s">
        <v>32</v>
      </c>
      <c r="J30" s="22" t="s">
        <v>31</v>
      </c>
    </row>
    <row r="31" spans="1:11" x14ac:dyDescent="0.2">
      <c r="A31" s="18" t="s">
        <v>3</v>
      </c>
      <c r="B31" s="17" t="s">
        <v>16</v>
      </c>
      <c r="C31" s="17" t="s">
        <v>12</v>
      </c>
      <c r="D31" s="19">
        <v>12300</v>
      </c>
      <c r="E31" s="17">
        <v>5</v>
      </c>
      <c r="F31" s="19">
        <f t="shared" si="0"/>
        <v>61500</v>
      </c>
      <c r="I31" s="16" t="s">
        <v>14</v>
      </c>
      <c r="J31" s="6">
        <f>SUMIF($B$5:$B$71,I31,$F$5:$F$71)</f>
        <v>186850</v>
      </c>
    </row>
    <row r="32" spans="1:11" x14ac:dyDescent="0.2">
      <c r="A32" s="18" t="s">
        <v>3</v>
      </c>
      <c r="B32" s="17" t="s">
        <v>16</v>
      </c>
      <c r="C32" s="17" t="s">
        <v>2</v>
      </c>
      <c r="D32" s="19">
        <v>4500</v>
      </c>
      <c r="E32" s="17">
        <v>7</v>
      </c>
      <c r="F32" s="19">
        <f t="shared" si="0"/>
        <v>31500</v>
      </c>
      <c r="I32" s="16" t="s">
        <v>15</v>
      </c>
      <c r="J32" s="6">
        <f t="shared" ref="J32:J34" si="3">SUMIF($B$5:$B$71,I32,$F$5:$F$71)</f>
        <v>357700</v>
      </c>
    </row>
    <row r="33" spans="1:15" x14ac:dyDescent="0.2">
      <c r="A33" s="18" t="s">
        <v>3</v>
      </c>
      <c r="B33" s="17" t="s">
        <v>16</v>
      </c>
      <c r="C33" s="17" t="s">
        <v>11</v>
      </c>
      <c r="D33" s="19">
        <v>23000</v>
      </c>
      <c r="E33" s="17">
        <v>3</v>
      </c>
      <c r="F33" s="19">
        <f t="shared" si="0"/>
        <v>69000</v>
      </c>
      <c r="I33" s="16" t="s">
        <v>16</v>
      </c>
      <c r="J33" s="6">
        <f t="shared" si="3"/>
        <v>571920</v>
      </c>
    </row>
    <row r="34" spans="1:15" x14ac:dyDescent="0.2">
      <c r="A34" s="18" t="s">
        <v>3</v>
      </c>
      <c r="B34" s="17" t="s">
        <v>16</v>
      </c>
      <c r="C34" s="17" t="s">
        <v>11</v>
      </c>
      <c r="D34" s="19">
        <v>23000</v>
      </c>
      <c r="E34" s="17">
        <v>3</v>
      </c>
      <c r="F34" s="19">
        <f t="shared" si="0"/>
        <v>69000</v>
      </c>
      <c r="I34" s="16" t="s">
        <v>17</v>
      </c>
      <c r="J34" s="6">
        <f t="shared" si="3"/>
        <v>903410</v>
      </c>
    </row>
    <row r="35" spans="1:15" x14ac:dyDescent="0.2">
      <c r="A35" s="18" t="s">
        <v>3</v>
      </c>
      <c r="B35" s="17" t="s">
        <v>15</v>
      </c>
      <c r="C35" s="17" t="s">
        <v>1</v>
      </c>
      <c r="D35" s="19">
        <v>3475</v>
      </c>
      <c r="E35" s="17">
        <v>12</v>
      </c>
      <c r="F35" s="19">
        <f t="shared" si="0"/>
        <v>41700</v>
      </c>
      <c r="I35" s="23" t="s">
        <v>34</v>
      </c>
      <c r="J35" s="25">
        <f>SUM(J31:J34)</f>
        <v>2019880</v>
      </c>
    </row>
    <row r="36" spans="1:15" x14ac:dyDescent="0.2">
      <c r="A36" s="18" t="s">
        <v>3</v>
      </c>
      <c r="B36" s="17" t="s">
        <v>15</v>
      </c>
      <c r="C36" s="17" t="s">
        <v>1</v>
      </c>
      <c r="D36" s="20">
        <v>3475</v>
      </c>
      <c r="E36" s="17">
        <v>12</v>
      </c>
      <c r="F36" s="19">
        <f t="shared" si="0"/>
        <v>41700</v>
      </c>
    </row>
    <row r="37" spans="1:15" x14ac:dyDescent="0.2">
      <c r="A37" s="18" t="s">
        <v>3</v>
      </c>
      <c r="B37" s="17" t="s">
        <v>14</v>
      </c>
      <c r="C37" s="17" t="s">
        <v>21</v>
      </c>
      <c r="D37" s="20">
        <v>1350</v>
      </c>
      <c r="E37" s="17">
        <v>3</v>
      </c>
      <c r="F37" s="19">
        <f t="shared" si="0"/>
        <v>4050</v>
      </c>
    </row>
    <row r="38" spans="1:15" x14ac:dyDescent="0.2">
      <c r="A38" s="18" t="s">
        <v>3</v>
      </c>
      <c r="B38" s="17" t="s">
        <v>14</v>
      </c>
      <c r="C38" s="17" t="s">
        <v>21</v>
      </c>
      <c r="D38" s="20">
        <v>1350</v>
      </c>
      <c r="E38" s="17">
        <v>3</v>
      </c>
      <c r="F38" s="19">
        <f t="shared" si="0"/>
        <v>4050</v>
      </c>
    </row>
    <row r="39" spans="1:15" x14ac:dyDescent="0.2">
      <c r="A39" s="18" t="s">
        <v>4</v>
      </c>
      <c r="B39" s="17" t="s">
        <v>17</v>
      </c>
      <c r="C39" s="17" t="s">
        <v>2</v>
      </c>
      <c r="D39" s="20">
        <v>4500</v>
      </c>
      <c r="E39" s="17">
        <v>3</v>
      </c>
      <c r="F39" s="19">
        <f t="shared" si="0"/>
        <v>13500</v>
      </c>
    </row>
    <row r="40" spans="1:15" x14ac:dyDescent="0.2">
      <c r="A40" s="18" t="s">
        <v>4</v>
      </c>
      <c r="B40" s="17" t="s">
        <v>17</v>
      </c>
      <c r="C40" s="17" t="s">
        <v>2</v>
      </c>
      <c r="D40" s="20">
        <v>4500</v>
      </c>
      <c r="E40" s="17">
        <v>4</v>
      </c>
      <c r="F40" s="19">
        <f t="shared" si="0"/>
        <v>18000</v>
      </c>
      <c r="I40" s="21" t="s">
        <v>36</v>
      </c>
    </row>
    <row r="41" spans="1:15" x14ac:dyDescent="0.2">
      <c r="A41" s="18" t="s">
        <v>4</v>
      </c>
      <c r="B41" s="17" t="s">
        <v>17</v>
      </c>
      <c r="C41" s="17" t="s">
        <v>2</v>
      </c>
      <c r="D41" s="20">
        <v>4500</v>
      </c>
      <c r="E41" s="17">
        <v>4</v>
      </c>
      <c r="F41" s="19">
        <f t="shared" si="0"/>
        <v>18000</v>
      </c>
    </row>
    <row r="42" spans="1:15" x14ac:dyDescent="0.2">
      <c r="A42" s="18" t="s">
        <v>4</v>
      </c>
      <c r="B42" s="17" t="s">
        <v>17</v>
      </c>
      <c r="C42" s="17" t="s">
        <v>2</v>
      </c>
      <c r="D42" s="19">
        <v>4500</v>
      </c>
      <c r="E42" s="17">
        <v>4</v>
      </c>
      <c r="F42" s="19">
        <f t="shared" si="0"/>
        <v>18000</v>
      </c>
      <c r="I42" s="27" t="s">
        <v>32</v>
      </c>
      <c r="J42" s="28" t="s">
        <v>22</v>
      </c>
      <c r="K42" s="28" t="s">
        <v>3</v>
      </c>
      <c r="L42" s="28" t="s">
        <v>4</v>
      </c>
      <c r="M42" s="28" t="s">
        <v>5</v>
      </c>
      <c r="N42" s="28" t="s">
        <v>20</v>
      </c>
      <c r="O42" s="28" t="s">
        <v>37</v>
      </c>
    </row>
    <row r="43" spans="1:15" x14ac:dyDescent="0.2">
      <c r="A43" s="18" t="s">
        <v>4</v>
      </c>
      <c r="B43" s="17" t="s">
        <v>17</v>
      </c>
      <c r="C43" s="17" t="s">
        <v>2</v>
      </c>
      <c r="D43" s="19">
        <v>4500</v>
      </c>
      <c r="E43" s="17">
        <v>4</v>
      </c>
      <c r="F43" s="19">
        <f t="shared" si="0"/>
        <v>18000</v>
      </c>
      <c r="I43" s="16" t="s">
        <v>14</v>
      </c>
      <c r="J43" s="6">
        <f>SUMIFS($F$5:$F$71,$B$5:$B$71,I43,$A$5:$A$71,$J$42)</f>
        <v>108000</v>
      </c>
      <c r="K43" s="6">
        <f>SUMIFS($F$5:$F$71,$B$5:$B$71,I43,$A$5:$A$71,$K$42)</f>
        <v>8100</v>
      </c>
      <c r="L43" s="6">
        <f>SUMIFS($F$5:$F$71,$B$5:$B$71,I43,$A$5:$A$71,$L$42)</f>
        <v>34750</v>
      </c>
      <c r="M43" s="6">
        <f>SUMIFS($F$5:$F$71,$B$5:$B$71,I43,$A$5:$A$71,$M$42)</f>
        <v>0</v>
      </c>
      <c r="N43" s="6">
        <f>SUMIFS($F$5:$F$71,$B$5:$B$71,I43,$A$5:$A$71,$N$42)</f>
        <v>36000</v>
      </c>
      <c r="O43" s="8">
        <f>SUM(J43:N43)</f>
        <v>186850</v>
      </c>
    </row>
    <row r="44" spans="1:15" x14ac:dyDescent="0.2">
      <c r="A44" s="18" t="s">
        <v>4</v>
      </c>
      <c r="B44" s="17" t="s">
        <v>16</v>
      </c>
      <c r="C44" s="17" t="s">
        <v>2</v>
      </c>
      <c r="D44" s="19">
        <v>4500</v>
      </c>
      <c r="E44" s="17">
        <v>8</v>
      </c>
      <c r="F44" s="19">
        <f t="shared" si="0"/>
        <v>36000</v>
      </c>
      <c r="I44" s="16" t="s">
        <v>15</v>
      </c>
      <c r="J44" s="6">
        <f t="shared" ref="J44:J46" si="4">SUMIFS($F$5:$F$71,$B$5:$B$71,I44,$A$5:$A$71,$J$42)</f>
        <v>28800</v>
      </c>
      <c r="K44" s="6">
        <f t="shared" ref="K44:K46" si="5">SUMIFS($F$5:$F$71,$B$5:$B$71,I44,$A$5:$A$71,$K$42)</f>
        <v>83400</v>
      </c>
      <c r="L44" s="6">
        <f t="shared" ref="L44:L46" si="6">SUMIFS($F$5:$F$71,$B$5:$B$71,I44,$A$5:$A$71,$L$42)</f>
        <v>171000</v>
      </c>
      <c r="M44" s="6">
        <f t="shared" ref="M44:M46" si="7">SUMIFS($F$5:$F$71,$B$5:$B$71,I44,$A$5:$A$71,$M$42)</f>
        <v>18900</v>
      </c>
      <c r="N44" s="6">
        <f t="shared" ref="N44:N46" si="8">SUMIFS($F$5:$F$71,$B$5:$B$71,I44,$A$5:$A$71,$N$42)</f>
        <v>55600</v>
      </c>
      <c r="O44" s="8">
        <f t="shared" ref="O44:O46" si="9">SUM(J44:N44)</f>
        <v>357700</v>
      </c>
    </row>
    <row r="45" spans="1:15" x14ac:dyDescent="0.2">
      <c r="A45" s="18" t="s">
        <v>4</v>
      </c>
      <c r="B45" s="17" t="s">
        <v>16</v>
      </c>
      <c r="C45" s="17" t="s">
        <v>2</v>
      </c>
      <c r="D45" s="19">
        <v>4500</v>
      </c>
      <c r="E45" s="17">
        <v>8</v>
      </c>
      <c r="F45" s="19">
        <f t="shared" si="0"/>
        <v>36000</v>
      </c>
      <c r="I45" s="16" t="s">
        <v>16</v>
      </c>
      <c r="J45" s="6">
        <f t="shared" si="4"/>
        <v>43820</v>
      </c>
      <c r="K45" s="6">
        <f t="shared" si="5"/>
        <v>348100</v>
      </c>
      <c r="L45" s="6">
        <f t="shared" si="6"/>
        <v>72000</v>
      </c>
      <c r="M45" s="6">
        <f t="shared" si="7"/>
        <v>0</v>
      </c>
      <c r="N45" s="6">
        <f t="shared" si="8"/>
        <v>108000</v>
      </c>
      <c r="O45" s="8">
        <f t="shared" si="9"/>
        <v>571920</v>
      </c>
    </row>
    <row r="46" spans="1:15" x14ac:dyDescent="0.2">
      <c r="A46" s="18" t="s">
        <v>4</v>
      </c>
      <c r="B46" s="17" t="s">
        <v>15</v>
      </c>
      <c r="C46" s="17" t="s">
        <v>2</v>
      </c>
      <c r="D46" s="19">
        <v>4500</v>
      </c>
      <c r="E46" s="17">
        <v>4</v>
      </c>
      <c r="F46" s="19">
        <f t="shared" si="0"/>
        <v>18000</v>
      </c>
      <c r="I46" s="16" t="s">
        <v>17</v>
      </c>
      <c r="J46" s="6">
        <f t="shared" si="4"/>
        <v>158800</v>
      </c>
      <c r="K46" s="6">
        <f t="shared" si="5"/>
        <v>469350</v>
      </c>
      <c r="L46" s="6">
        <f t="shared" si="6"/>
        <v>85500</v>
      </c>
      <c r="M46" s="6">
        <f t="shared" si="7"/>
        <v>177300</v>
      </c>
      <c r="N46" s="6">
        <f t="shared" si="8"/>
        <v>12460</v>
      </c>
      <c r="O46" s="8">
        <f t="shared" si="9"/>
        <v>903410</v>
      </c>
    </row>
    <row r="47" spans="1:15" x14ac:dyDescent="0.2">
      <c r="A47" s="18" t="s">
        <v>4</v>
      </c>
      <c r="B47" s="17" t="s">
        <v>15</v>
      </c>
      <c r="C47" s="17" t="s">
        <v>2</v>
      </c>
      <c r="D47" s="19">
        <v>4500</v>
      </c>
      <c r="E47" s="17">
        <v>4</v>
      </c>
      <c r="F47" s="19">
        <f t="shared" si="0"/>
        <v>18000</v>
      </c>
      <c r="I47" s="16" t="s">
        <v>37</v>
      </c>
      <c r="J47" s="8">
        <f t="shared" ref="J47:O47" si="10">SUM(J43:J46)</f>
        <v>339420</v>
      </c>
      <c r="K47" s="6">
        <f t="shared" si="10"/>
        <v>908950</v>
      </c>
      <c r="L47" s="8">
        <f t="shared" si="10"/>
        <v>363250</v>
      </c>
      <c r="M47" s="8">
        <f t="shared" si="10"/>
        <v>196200</v>
      </c>
      <c r="N47" s="8">
        <f t="shared" si="10"/>
        <v>212060</v>
      </c>
      <c r="O47" s="26">
        <f t="shared" si="10"/>
        <v>2019880</v>
      </c>
    </row>
    <row r="48" spans="1:15" x14ac:dyDescent="0.2">
      <c r="A48" s="18" t="s">
        <v>4</v>
      </c>
      <c r="B48" s="17" t="s">
        <v>15</v>
      </c>
      <c r="C48" s="17" t="s">
        <v>2</v>
      </c>
      <c r="D48" s="19">
        <v>4500</v>
      </c>
      <c r="E48" s="17">
        <v>15</v>
      </c>
      <c r="F48" s="19">
        <f t="shared" si="0"/>
        <v>67500</v>
      </c>
    </row>
    <row r="49" spans="1:6" x14ac:dyDescent="0.2">
      <c r="A49" s="18" t="s">
        <v>4</v>
      </c>
      <c r="B49" s="17" t="s">
        <v>15</v>
      </c>
      <c r="C49" s="17" t="s">
        <v>2</v>
      </c>
      <c r="D49" s="19">
        <v>4500</v>
      </c>
      <c r="E49" s="17">
        <v>15</v>
      </c>
      <c r="F49" s="19">
        <f t="shared" si="0"/>
        <v>67500</v>
      </c>
    </row>
    <row r="50" spans="1:6" x14ac:dyDescent="0.2">
      <c r="A50" s="18" t="s">
        <v>4</v>
      </c>
      <c r="B50" s="17" t="s">
        <v>14</v>
      </c>
      <c r="C50" s="17" t="s">
        <v>1</v>
      </c>
      <c r="D50" s="19">
        <v>3475</v>
      </c>
      <c r="E50" s="17">
        <v>5</v>
      </c>
      <c r="F50" s="19">
        <f t="shared" si="0"/>
        <v>17375</v>
      </c>
    </row>
    <row r="51" spans="1:6" x14ac:dyDescent="0.2">
      <c r="A51" s="18" t="s">
        <v>4</v>
      </c>
      <c r="B51" s="17" t="s">
        <v>14</v>
      </c>
      <c r="C51" s="17" t="s">
        <v>1</v>
      </c>
      <c r="D51" s="19">
        <v>3475</v>
      </c>
      <c r="E51" s="17">
        <v>5</v>
      </c>
      <c r="F51" s="19">
        <f t="shared" si="0"/>
        <v>17375</v>
      </c>
    </row>
    <row r="52" spans="1:6" x14ac:dyDescent="0.2">
      <c r="A52" s="18" t="s">
        <v>5</v>
      </c>
      <c r="B52" s="17" t="s">
        <v>17</v>
      </c>
      <c r="C52" s="17" t="s">
        <v>21</v>
      </c>
      <c r="D52" s="19">
        <v>1350</v>
      </c>
      <c r="E52" s="17">
        <v>9</v>
      </c>
      <c r="F52" s="19">
        <f t="shared" si="0"/>
        <v>12150</v>
      </c>
    </row>
    <row r="53" spans="1:6" x14ac:dyDescent="0.2">
      <c r="A53" s="18" t="s">
        <v>5</v>
      </c>
      <c r="B53" s="17" t="s">
        <v>17</v>
      </c>
      <c r="C53" s="17" t="s">
        <v>21</v>
      </c>
      <c r="D53" s="19">
        <v>1350</v>
      </c>
      <c r="E53" s="17">
        <v>9</v>
      </c>
      <c r="F53" s="19">
        <f t="shared" si="0"/>
        <v>12150</v>
      </c>
    </row>
    <row r="54" spans="1:6" x14ac:dyDescent="0.2">
      <c r="A54" s="18" t="s">
        <v>5</v>
      </c>
      <c r="B54" s="17" t="s">
        <v>17</v>
      </c>
      <c r="C54" s="17" t="s">
        <v>2</v>
      </c>
      <c r="D54" s="19">
        <v>4500</v>
      </c>
      <c r="E54" s="17">
        <v>5</v>
      </c>
      <c r="F54" s="19">
        <f t="shared" si="0"/>
        <v>22500</v>
      </c>
    </row>
    <row r="55" spans="1:6" x14ac:dyDescent="0.2">
      <c r="A55" s="18" t="s">
        <v>5</v>
      </c>
      <c r="B55" s="17" t="s">
        <v>17</v>
      </c>
      <c r="C55" s="17" t="s">
        <v>2</v>
      </c>
      <c r="D55" s="19">
        <v>4500</v>
      </c>
      <c r="E55" s="17">
        <v>5</v>
      </c>
      <c r="F55" s="19">
        <f t="shared" si="0"/>
        <v>22500</v>
      </c>
    </row>
    <row r="56" spans="1:6" x14ac:dyDescent="0.2">
      <c r="A56" s="18" t="s">
        <v>5</v>
      </c>
      <c r="B56" s="17" t="s">
        <v>17</v>
      </c>
      <c r="C56" s="17" t="s">
        <v>2</v>
      </c>
      <c r="D56" s="19">
        <v>4500</v>
      </c>
      <c r="E56" s="17">
        <v>6</v>
      </c>
      <c r="F56" s="19">
        <f t="shared" si="0"/>
        <v>27000</v>
      </c>
    </row>
    <row r="57" spans="1:6" x14ac:dyDescent="0.2">
      <c r="A57" s="18" t="s">
        <v>5</v>
      </c>
      <c r="B57" s="17" t="s">
        <v>17</v>
      </c>
      <c r="C57" s="17" t="s">
        <v>2</v>
      </c>
      <c r="D57" s="19">
        <v>4500</v>
      </c>
      <c r="E57" s="17">
        <v>6</v>
      </c>
      <c r="F57" s="19">
        <f t="shared" si="0"/>
        <v>27000</v>
      </c>
    </row>
    <row r="58" spans="1:6" x14ac:dyDescent="0.2">
      <c r="A58" s="18" t="s">
        <v>5</v>
      </c>
      <c r="B58" s="17" t="s">
        <v>17</v>
      </c>
      <c r="C58" s="17" t="s">
        <v>2</v>
      </c>
      <c r="D58" s="19">
        <v>4500</v>
      </c>
      <c r="E58" s="17">
        <v>6</v>
      </c>
      <c r="F58" s="19">
        <f t="shared" si="0"/>
        <v>27000</v>
      </c>
    </row>
    <row r="59" spans="1:6" x14ac:dyDescent="0.2">
      <c r="A59" s="18" t="s">
        <v>5</v>
      </c>
      <c r="B59" s="17" t="s">
        <v>17</v>
      </c>
      <c r="C59" s="17" t="s">
        <v>2</v>
      </c>
      <c r="D59" s="19">
        <v>4500</v>
      </c>
      <c r="E59" s="17">
        <v>6</v>
      </c>
      <c r="F59" s="19">
        <f t="shared" si="0"/>
        <v>27000</v>
      </c>
    </row>
    <row r="60" spans="1:6" x14ac:dyDescent="0.2">
      <c r="A60" s="18" t="s">
        <v>5</v>
      </c>
      <c r="B60" s="17" t="s">
        <v>15</v>
      </c>
      <c r="C60" s="17" t="s">
        <v>21</v>
      </c>
      <c r="D60" s="19">
        <v>1350</v>
      </c>
      <c r="E60" s="17">
        <v>7</v>
      </c>
      <c r="F60" s="19">
        <f t="shared" si="0"/>
        <v>9450</v>
      </c>
    </row>
    <row r="61" spans="1:6" x14ac:dyDescent="0.2">
      <c r="A61" s="18" t="s">
        <v>5</v>
      </c>
      <c r="B61" s="17" t="s">
        <v>15</v>
      </c>
      <c r="C61" s="17" t="s">
        <v>21</v>
      </c>
      <c r="D61" s="19">
        <v>1350</v>
      </c>
      <c r="E61" s="17">
        <v>7</v>
      </c>
      <c r="F61" s="19">
        <f t="shared" si="0"/>
        <v>9450</v>
      </c>
    </row>
    <row r="62" spans="1:6" x14ac:dyDescent="0.2">
      <c r="A62" s="18" t="s">
        <v>20</v>
      </c>
      <c r="B62" s="17" t="s">
        <v>17</v>
      </c>
      <c r="C62" s="17" t="s">
        <v>10</v>
      </c>
      <c r="D62" s="19">
        <v>890</v>
      </c>
      <c r="E62" s="17">
        <v>7</v>
      </c>
      <c r="F62" s="19">
        <f t="shared" si="0"/>
        <v>6230</v>
      </c>
    </row>
    <row r="63" spans="1:6" x14ac:dyDescent="0.2">
      <c r="A63" s="18" t="s">
        <v>20</v>
      </c>
      <c r="B63" s="17" t="s">
        <v>17</v>
      </c>
      <c r="C63" s="17" t="s">
        <v>10</v>
      </c>
      <c r="D63" s="19">
        <v>890</v>
      </c>
      <c r="E63" s="17">
        <v>7</v>
      </c>
      <c r="F63" s="19">
        <f t="shared" si="0"/>
        <v>6230</v>
      </c>
    </row>
    <row r="64" spans="1:6" x14ac:dyDescent="0.2">
      <c r="A64" s="18" t="s">
        <v>20</v>
      </c>
      <c r="B64" s="17" t="s">
        <v>16</v>
      </c>
      <c r="C64" s="17" t="s">
        <v>2</v>
      </c>
      <c r="D64" s="19">
        <v>4500</v>
      </c>
      <c r="E64" s="17">
        <v>5</v>
      </c>
      <c r="F64" s="19">
        <f t="shared" si="0"/>
        <v>22500</v>
      </c>
    </row>
    <row r="65" spans="1:6" x14ac:dyDescent="0.2">
      <c r="A65" s="18" t="s">
        <v>20</v>
      </c>
      <c r="B65" s="17" t="s">
        <v>16</v>
      </c>
      <c r="C65" s="17" t="s">
        <v>2</v>
      </c>
      <c r="D65" s="19">
        <v>4500</v>
      </c>
      <c r="E65" s="17">
        <v>5</v>
      </c>
      <c r="F65" s="19">
        <f t="shared" si="0"/>
        <v>22500</v>
      </c>
    </row>
    <row r="66" spans="1:6" x14ac:dyDescent="0.2">
      <c r="A66" s="18" t="s">
        <v>20</v>
      </c>
      <c r="B66" s="17" t="s">
        <v>16</v>
      </c>
      <c r="C66" s="17" t="s">
        <v>2</v>
      </c>
      <c r="D66" s="19">
        <v>4500</v>
      </c>
      <c r="E66" s="17">
        <v>7</v>
      </c>
      <c r="F66" s="19">
        <f t="shared" si="0"/>
        <v>31500</v>
      </c>
    </row>
    <row r="67" spans="1:6" x14ac:dyDescent="0.2">
      <c r="A67" s="18" t="s">
        <v>20</v>
      </c>
      <c r="B67" s="17" t="s">
        <v>16</v>
      </c>
      <c r="C67" s="17" t="s">
        <v>2</v>
      </c>
      <c r="D67" s="19">
        <v>4500</v>
      </c>
      <c r="E67" s="17">
        <v>7</v>
      </c>
      <c r="F67" s="19">
        <f t="shared" si="0"/>
        <v>31500</v>
      </c>
    </row>
    <row r="68" spans="1:6" x14ac:dyDescent="0.2">
      <c r="A68" s="18" t="s">
        <v>20</v>
      </c>
      <c r="B68" s="17" t="s">
        <v>15</v>
      </c>
      <c r="C68" s="17" t="s">
        <v>1</v>
      </c>
      <c r="D68" s="19">
        <v>3475</v>
      </c>
      <c r="E68" s="17">
        <v>8</v>
      </c>
      <c r="F68" s="19">
        <f t="shared" si="0"/>
        <v>27800</v>
      </c>
    </row>
    <row r="69" spans="1:6" x14ac:dyDescent="0.2">
      <c r="A69" s="18" t="s">
        <v>20</v>
      </c>
      <c r="B69" s="17" t="s">
        <v>15</v>
      </c>
      <c r="C69" s="17" t="s">
        <v>1</v>
      </c>
      <c r="D69" s="19">
        <v>3475</v>
      </c>
      <c r="E69" s="17">
        <v>8</v>
      </c>
      <c r="F69" s="19">
        <f t="shared" si="0"/>
        <v>27800</v>
      </c>
    </row>
    <row r="70" spans="1:6" x14ac:dyDescent="0.2">
      <c r="A70" s="18" t="s">
        <v>20</v>
      </c>
      <c r="B70" s="17" t="s">
        <v>14</v>
      </c>
      <c r="C70" s="17" t="s">
        <v>2</v>
      </c>
      <c r="D70" s="19">
        <v>4500</v>
      </c>
      <c r="E70" s="17">
        <v>4</v>
      </c>
      <c r="F70" s="19">
        <f t="shared" ref="F70:F71" si="11">D70*E70</f>
        <v>18000</v>
      </c>
    </row>
    <row r="71" spans="1:6" x14ac:dyDescent="0.2">
      <c r="A71" s="18" t="s">
        <v>20</v>
      </c>
      <c r="B71" s="17" t="s">
        <v>14</v>
      </c>
      <c r="C71" s="17" t="s">
        <v>2</v>
      </c>
      <c r="D71" s="19">
        <v>4500</v>
      </c>
      <c r="E71" s="17">
        <v>4</v>
      </c>
      <c r="F71" s="19">
        <f t="shared" si="11"/>
        <v>18000</v>
      </c>
    </row>
    <row r="73" spans="1:6" x14ac:dyDescent="0.2">
      <c r="E73" s="23" t="s">
        <v>24</v>
      </c>
      <c r="F73" s="26">
        <f>SUM(F5:F71)</f>
        <v>2019880</v>
      </c>
    </row>
    <row r="75" spans="1:6" x14ac:dyDescent="0.2">
      <c r="D75" s="16" t="s">
        <v>25</v>
      </c>
      <c r="F75" s="8">
        <f>AVERAGE(F5:F71)</f>
        <v>30147.462686567163</v>
      </c>
    </row>
    <row r="76" spans="1:6" x14ac:dyDescent="0.2">
      <c r="D76" s="16" t="s">
        <v>26</v>
      </c>
      <c r="F76" s="8">
        <f>MIN(F5:F71)</f>
        <v>4050</v>
      </c>
    </row>
    <row r="77" spans="1:6" x14ac:dyDescent="0.2">
      <c r="D77" s="16" t="s">
        <v>27</v>
      </c>
      <c r="F77" s="8">
        <f>MAX(F5:F71)</f>
        <v>207000</v>
      </c>
    </row>
  </sheetData>
  <mergeCells count="2">
    <mergeCell ref="A1:F1"/>
    <mergeCell ref="A2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'RESOLVIDO - Controle de Vendas'!I22:I22</xm:f>
              <xm:sqref>I22</xm:sqref>
            </x14:sparkline>
            <x14:sparkline>
              <xm:f>'RESOLVIDO - Controle de Vendas'!J22:J22</xm:f>
              <xm:sqref>J22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Listagem</vt:lpstr>
      <vt:lpstr>EXERCICIO - Controle  Vendas</vt:lpstr>
      <vt:lpstr>RESOLVIDO - Controle de Vendas</vt:lpstr>
      <vt:lpstr>Grafico Total de Vendas Semana</vt:lpstr>
      <vt:lpstr>Grafico por Vendedores</vt:lpstr>
      <vt:lpstr>Listagem!Area_de_impressao</vt:lpstr>
      <vt:lpstr>Listagem!Titulos_de_impressao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v-andman</dc:creator>
  <cp:lastModifiedBy>Ian Cavalcante</cp:lastModifiedBy>
  <cp:lastPrinted>2007-04-23T21:40:18Z</cp:lastPrinted>
  <dcterms:created xsi:type="dcterms:W3CDTF">2003-12-25T13:57:22Z</dcterms:created>
  <dcterms:modified xsi:type="dcterms:W3CDTF">2026-10-15T22:55:40Z</dcterms:modified>
</cp:coreProperties>
</file>